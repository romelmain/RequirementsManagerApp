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8952" tabRatio="597"/>
  </bookViews>
  <sheets>
    <sheet name="Cronogram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<sst xmlns="http://schemas.openxmlformats.org/spreadsheetml/2006/main" count="109" uniqueCount="23">
  <si>
    <t>Inicio Proyecto</t>
  </si>
  <si>
    <t>Fecha Actual</t>
  </si>
  <si>
    <t>ACTIVIDAD</t>
  </si>
  <si>
    <t>Horas</t>
  </si>
  <si>
    <t>ASIGNADO</t>
  </si>
  <si>
    <t>DIA INICIO</t>
  </si>
  <si>
    <t>DIA FIN</t>
  </si>
  <si>
    <t>DIA FIN
REAL</t>
  </si>
  <si>
    <t>ESTADO</t>
  </si>
  <si>
    <t>Romel Herrera</t>
  </si>
  <si>
    <t>Pendiente</t>
  </si>
  <si>
    <t>En Progreso</t>
  </si>
  <si>
    <t xml:space="preserve">Jesus </t>
  </si>
  <si>
    <t>Capa de Sistemas</t>
  </si>
  <si>
    <t>mongo-db-sapi-services</t>
  </si>
  <si>
    <t>PSE SAPI</t>
  </si>
  <si>
    <t>PayU SAPI (API NUEVA)</t>
  </si>
  <si>
    <t>Wompi (API NUEVA)</t>
  </si>
  <si>
    <t>Capa de Procesos</t>
  </si>
  <si>
    <t>PAPI PAGOS (API NUEVA)</t>
  </si>
  <si>
    <t>Capa de Experiencia</t>
  </si>
  <si>
    <t>XAPI PAGOS (API NUEVA)</t>
  </si>
  <si>
    <t>Pruebas Unitarias y Documentación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</si>
</sst>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;;;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0"/>
      <name val="Calibri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 tint="0.249977111117893"/>
      <name val="Calibri"/>
      <charset val="134"/>
      <scheme val="minor"/>
    </font>
    <font>
      <b/>
      <sz val="16"/>
      <color theme="8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 tint="0.249977111117893"/>
      <name val="Calibri"/>
      <charset val="134"/>
      <scheme val="minor"/>
    </font>
    <font>
      <b/>
      <sz val="14"/>
      <color theme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58" fontId="0" fillId="0" borderId="0" xfId="0" applyNumberFormat="1"/>
    <xf numFmtId="16" fontId="0" fillId="2" borderId="0" xfId="0" applyNumberForma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" fontId="3" fillId="4" borderId="0" xfId="0" applyNumberFormat="1" applyFont="1" applyFill="1" applyAlignment="1">
      <alignment horizontal="center" vertical="center" textRotation="90"/>
    </xf>
    <xf numFmtId="0" fontId="4" fillId="2" borderId="2" xfId="0" applyFont="1" applyFill="1" applyBorder="1"/>
    <xf numFmtId="0" fontId="5" fillId="2" borderId="2" xfId="0" applyFont="1" applyFill="1" applyBorder="1"/>
    <xf numFmtId="16" fontId="0" fillId="2" borderId="2" xfId="0" applyNumberForma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0" fillId="0" borderId="4" xfId="0" applyNumberFormat="1" applyBorder="1"/>
    <xf numFmtId="0" fontId="6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/>
    <xf numFmtId="0" fontId="9" fillId="2" borderId="2" xfId="0" applyFont="1" applyFill="1" applyBorder="1"/>
    <xf numFmtId="0" fontId="10" fillId="2" borderId="2" xfId="0" applyFont="1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0">
    <dxf>
      <font>
        <b val="1"/>
        <i val="0"/>
        <color rgb="FFFF0000"/>
      </font>
    </dxf>
    <dxf>
      <font>
        <b val="1"/>
        <i val="0"/>
        <color rgb="FFFFC000"/>
      </font>
    </dxf>
    <dxf>
      <font>
        <b val="1"/>
        <i val="0"/>
        <color rgb="FF00B050"/>
      </font>
    </dxf>
    <dxf>
      <font>
        <b val="1"/>
        <i val="0"/>
        <color rgb="FF92D050"/>
      </font>
    </dxf>
    <dxf>
      <border>
        <top style="hair">
          <color auto="1"/>
        </top>
        <bottom style="hair">
          <color auto="1"/>
        </bottom>
      </border>
    </dxf>
    <dxf>
      <fill>
        <gradientFill degree="90">
          <stop position="0">
            <color theme="0"/>
          </stop>
          <stop position="1">
            <color rgb="FF92D050"/>
          </stop>
        </gradientFill>
      </fill>
      <border>
        <left/>
        <right/>
        <top style="hair">
          <color auto="1"/>
        </top>
        <bottom style="hair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V72"/>
  <sheetViews>
    <sheetView tabSelected="1" zoomScale="61" zoomScaleNormal="61" workbookViewId="0">
      <pane xSplit="7" ySplit="11" topLeftCell="H12" activePane="bottomRight" state="frozen"/>
      <selection/>
      <selection pane="topRight"/>
      <selection pane="bottomLeft"/>
      <selection pane="bottomRight" activeCell="H12" sqref="H12"/>
    </sheetView>
  </sheetViews>
  <sheetFormatPr defaultColWidth="11.4298245614035" defaultRowHeight="14.4"/>
  <cols>
    <col min="1" max="1" width="73" customWidth="1"/>
    <col min="2" max="2" width="12.5701754385965" customWidth="1"/>
    <col min="3" max="3" width="34.859649122807" customWidth="1"/>
    <col min="4" max="6" width="11.4298245614035" customWidth="1"/>
    <col min="7" max="7" width="16.5701754385965" customWidth="1"/>
    <col min="8" max="22" width="3" customWidth="1"/>
    <col min="23" max="94" width="12.4298245614035" customWidth="1"/>
    <col min="95" max="95" width="12.4298245614035"/>
  </cols>
  <sheetData>
    <row r="1" ht="15" hidden="1" customHeight="1"/>
    <row r="2" ht="15" hidden="1" customHeight="1"/>
    <row r="3" ht="15" customHeight="1" spans="1:4">
      <c r="A3" t="s">
        <v>0</v>
      </c>
      <c r="D3" s="2">
        <v>45884</v>
      </c>
    </row>
    <row r="4" spans="1:4">
      <c r="A4" t="s">
        <v>1</v>
      </c>
      <c r="D4" s="3">
        <f ca="1">TODAY()</f>
        <v>45905</v>
      </c>
    </row>
    <row r="5" spans="4:4">
      <c r="D5" s="3"/>
    </row>
    <row r="6" ht="15" customHeight="1" spans="4:4">
      <c r="D6" s="3"/>
    </row>
    <row r="10" ht="15" customHeight="1" spans="4:4">
      <c r="D10" s="2"/>
    </row>
    <row r="11" s="1" customFormat="1" ht="54" customHeight="1" spans="1:22">
      <c r="A11" s="4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5" t="s">
        <v>7</v>
      </c>
      <c r="G11" s="6" t="s">
        <v>8</v>
      </c>
      <c r="H11" s="7">
        <v>45884</v>
      </c>
      <c r="I11" s="7">
        <v>45885</v>
      </c>
      <c r="J11" s="7">
        <v>45886</v>
      </c>
      <c r="K11" s="7">
        <v>45887</v>
      </c>
      <c r="L11" s="7">
        <v>45888</v>
      </c>
      <c r="M11" s="7">
        <v>45889</v>
      </c>
      <c r="N11" s="7">
        <v>45890</v>
      </c>
      <c r="O11" s="7">
        <v>45891</v>
      </c>
      <c r="P11" s="7">
        <v>45892</v>
      </c>
      <c r="Q11" s="7">
        <v>45893</v>
      </c>
      <c r="R11" s="7">
        <v>45894</v>
      </c>
      <c r="S11" s="7">
        <v>45895</v>
      </c>
      <c r="T11" s="7">
        <v>45896</v>
      </c>
      <c r="U11" s="7">
        <v>45897</v>
      </c>
      <c r="V11" s="7">
        <v>45898</v>
      </c>
    </row>
    <row r="12" ht="18" customHeight="1" collapsed="1" spans="1:22">
      <c r="A12" s="8"/>
      <c r="B12" s="9">
        <v>4</v>
      </c>
      <c r="C12" s="9" t="s">
        <v>9</v>
      </c>
      <c r="D12" s="10">
        <v>45884</v>
      </c>
      <c r="E12" s="10">
        <v>45884</v>
      </c>
      <c r="F12" s="10"/>
      <c r="G12" s="11" t="s">
        <v>10</v>
      </c>
      <c r="H12" s="12" t="str">
        <f t="shared" ref="H12:L16" si="0">IF(AND($D12&lt;=H$11,$E12&gt;=H$11),$G12,"")</f>
        <v>Pendiente</v>
      </c>
      <c r="I12" s="12" t="str">
        <f t="shared" si="0"/>
        <v/>
      </c>
      <c r="J12" s="12" t="str">
        <f t="shared" si="0"/>
        <v/>
      </c>
      <c r="K12" s="12" t="str">
        <f t="shared" si="0"/>
        <v/>
      </c>
      <c r="L12" s="12" t="str">
        <f t="shared" ref="L12:V12" si="1">IF(AND($D12&lt;=L$11,$E12&gt;=L$11),$G12,"")</f>
        <v/>
      </c>
      <c r="M12" s="12" t="str">
        <f t="shared" si="1"/>
        <v/>
      </c>
      <c r="N12" s="12" t="str">
        <f t="shared" si="1"/>
        <v/>
      </c>
      <c r="O12" s="12" t="str">
        <f t="shared" si="1"/>
        <v/>
      </c>
      <c r="P12" s="12" t="str">
        <f t="shared" si="1"/>
        <v/>
      </c>
      <c r="Q12" s="12" t="str">
        <f t="shared" si="1"/>
        <v/>
      </c>
      <c r="R12" s="12" t="str">
        <f t="shared" si="1"/>
        <v/>
      </c>
      <c r="S12" s="12" t="str">
        <f t="shared" si="1"/>
        <v/>
      </c>
      <c r="T12" s="12" t="str">
        <f t="shared" si="1"/>
        <v/>
      </c>
      <c r="U12" s="12" t="str">
        <f t="shared" si="1"/>
        <v/>
      </c>
      <c r="V12" s="12" t="str">
        <f t="shared" si="1"/>
        <v/>
      </c>
    </row>
    <row r="13" ht="18" hidden="1" customHeight="1" outlineLevel="1" spans="1:22">
      <c r="A13" s="13"/>
      <c r="B13" s="13"/>
      <c r="C13" s="13"/>
      <c r="D13" s="10">
        <v>45847</v>
      </c>
      <c r="E13" s="10">
        <v>45847</v>
      </c>
      <c r="F13" s="10"/>
      <c r="G13" s="11" t="s">
        <v>11</v>
      </c>
      <c r="H13" s="12" t="str">
        <f t="shared" si="0"/>
        <v/>
      </c>
      <c r="I13" s="12" t="str">
        <f t="shared" si="0"/>
        <v/>
      </c>
      <c r="J13" s="12" t="str">
        <f t="shared" si="0"/>
        <v/>
      </c>
      <c r="K13" s="12" t="str">
        <f t="shared" si="0"/>
        <v/>
      </c>
      <c r="L13" s="12" t="str">
        <f t="shared" ref="L13:V13" si="2">IF(AND($D13&lt;=L$11,$E13&gt;=L$11),$G13,"")</f>
        <v/>
      </c>
      <c r="M13" s="12" t="str">
        <f t="shared" si="2"/>
        <v/>
      </c>
      <c r="N13" s="12" t="str">
        <f t="shared" si="2"/>
        <v/>
      </c>
      <c r="O13" s="12" t="str">
        <f t="shared" si="2"/>
        <v/>
      </c>
      <c r="P13" s="12" t="str">
        <f t="shared" si="2"/>
        <v/>
      </c>
      <c r="Q13" s="12" t="str">
        <f t="shared" si="2"/>
        <v/>
      </c>
      <c r="R13" s="12" t="str">
        <f t="shared" si="2"/>
        <v/>
      </c>
      <c r="S13" s="12" t="str">
        <f t="shared" si="2"/>
        <v/>
      </c>
      <c r="T13" s="12" t="str">
        <f t="shared" si="2"/>
        <v/>
      </c>
      <c r="U13" s="12" t="str">
        <f t="shared" si="2"/>
        <v/>
      </c>
      <c r="V13" s="12" t="str">
        <f t="shared" si="2"/>
        <v/>
      </c>
    </row>
    <row r="14" ht="18" hidden="1" customHeight="1" outlineLevel="1" spans="1:22">
      <c r="A14" s="13"/>
      <c r="B14" s="13"/>
      <c r="C14" s="13"/>
      <c r="D14" s="10">
        <v>45847</v>
      </c>
      <c r="E14" s="10">
        <v>45847</v>
      </c>
      <c r="F14" s="10"/>
      <c r="G14" s="11" t="s">
        <v>11</v>
      </c>
      <c r="H14" s="12" t="str">
        <f t="shared" si="0"/>
        <v/>
      </c>
      <c r="I14" s="12" t="str">
        <f t="shared" si="0"/>
        <v/>
      </c>
      <c r="J14" s="12" t="str">
        <f t="shared" si="0"/>
        <v/>
      </c>
      <c r="K14" s="12" t="str">
        <f t="shared" si="0"/>
        <v/>
      </c>
      <c r="L14" s="12" t="str">
        <f t="shared" ref="L14:V14" si="3">IF(AND($D14&lt;=L$11,$E14&gt;=L$11),$G14,"")</f>
        <v/>
      </c>
      <c r="M14" s="12" t="str">
        <f t="shared" si="3"/>
        <v/>
      </c>
      <c r="N14" s="12" t="str">
        <f t="shared" si="3"/>
        <v/>
      </c>
      <c r="O14" s="12" t="str">
        <f t="shared" si="3"/>
        <v/>
      </c>
      <c r="P14" s="12" t="str">
        <f t="shared" si="3"/>
        <v/>
      </c>
      <c r="Q14" s="12" t="str">
        <f t="shared" si="3"/>
        <v/>
      </c>
      <c r="R14" s="12" t="str">
        <f t="shared" si="3"/>
        <v/>
      </c>
      <c r="S14" s="12" t="str">
        <f t="shared" si="3"/>
        <v/>
      </c>
      <c r="T14" s="12" t="str">
        <f t="shared" si="3"/>
        <v/>
      </c>
      <c r="U14" s="12" t="str">
        <f t="shared" si="3"/>
        <v/>
      </c>
      <c r="V14" s="12" t="str">
        <f t="shared" si="3"/>
        <v/>
      </c>
    </row>
    <row r="15" ht="18" hidden="1" customHeight="1" outlineLevel="1" spans="1:22">
      <c r="A15" s="13"/>
      <c r="B15" s="13"/>
      <c r="C15" s="13"/>
      <c r="D15" s="10">
        <v>45847</v>
      </c>
      <c r="E15" s="10">
        <v>45847</v>
      </c>
      <c r="F15" s="10"/>
      <c r="G15" s="11" t="s">
        <v>11</v>
      </c>
      <c r="H15" s="12" t="str">
        <f t="shared" si="0"/>
        <v/>
      </c>
      <c r="I15" s="12" t="str">
        <f t="shared" si="0"/>
        <v/>
      </c>
      <c r="J15" s="12" t="str">
        <f t="shared" si="0"/>
        <v/>
      </c>
      <c r="K15" s="12" t="str">
        <f t="shared" si="0"/>
        <v/>
      </c>
      <c r="L15" s="12" t="str">
        <f t="shared" ref="L15:V15" si="4">IF(AND($D15&lt;=L$11,$E15&gt;=L$11),$G15,"")</f>
        <v/>
      </c>
      <c r="M15" s="12" t="str">
        <f t="shared" si="4"/>
        <v/>
      </c>
      <c r="N15" s="12" t="str">
        <f t="shared" si="4"/>
        <v/>
      </c>
      <c r="O15" s="12" t="str">
        <f t="shared" si="4"/>
        <v/>
      </c>
      <c r="P15" s="12" t="str">
        <f t="shared" si="4"/>
        <v/>
      </c>
      <c r="Q15" s="12" t="str">
        <f t="shared" si="4"/>
        <v/>
      </c>
      <c r="R15" s="12" t="str">
        <f t="shared" si="4"/>
        <v/>
      </c>
      <c r="S15" s="12" t="str">
        <f t="shared" si="4"/>
        <v/>
      </c>
      <c r="T15" s="12" t="str">
        <f t="shared" si="4"/>
        <v/>
      </c>
      <c r="U15" s="12" t="str">
        <f t="shared" si="4"/>
        <v/>
      </c>
      <c r="V15" s="12" t="str">
        <f t="shared" si="4"/>
        <v/>
      </c>
    </row>
    <row r="16" ht="18" hidden="1" customHeight="1" outlineLevel="1" spans="1:22">
      <c r="A16" s="13"/>
      <c r="B16" s="13"/>
      <c r="C16" s="13"/>
      <c r="D16" s="10">
        <v>45847</v>
      </c>
      <c r="E16" s="10">
        <v>45847</v>
      </c>
      <c r="F16" s="10"/>
      <c r="G16" s="11" t="s">
        <v>11</v>
      </c>
      <c r="H16" s="12" t="str">
        <f t="shared" si="0"/>
        <v/>
      </c>
      <c r="I16" s="12" t="str">
        <f t="shared" si="0"/>
        <v/>
      </c>
      <c r="J16" s="12" t="str">
        <f t="shared" si="0"/>
        <v/>
      </c>
      <c r="K16" s="12" t="str">
        <f t="shared" si="0"/>
        <v/>
      </c>
      <c r="L16" s="12" t="str">
        <f t="shared" ref="L16:V16" si="5">IF(AND($D16&lt;=L$11,$E16&gt;=L$11),$G16,"")</f>
        <v/>
      </c>
      <c r="M16" s="12" t="str">
        <f t="shared" si="5"/>
        <v/>
      </c>
      <c r="N16" s="12" t="str">
        <f t="shared" si="5"/>
        <v/>
      </c>
      <c r="O16" s="12" t="str">
        <f t="shared" si="5"/>
        <v/>
      </c>
      <c r="P16" s="12" t="str">
        <f t="shared" si="5"/>
        <v/>
      </c>
      <c r="Q16" s="12" t="str">
        <f t="shared" si="5"/>
        <v/>
      </c>
      <c r="R16" s="12" t="str">
        <f t="shared" si="5"/>
        <v/>
      </c>
      <c r="S16" s="12" t="str">
        <f t="shared" si="5"/>
        <v/>
      </c>
      <c r="T16" s="12" t="str">
        <f t="shared" si="5"/>
        <v/>
      </c>
      <c r="U16" s="12" t="str">
        <f t="shared" si="5"/>
        <v/>
      </c>
      <c r="V16" s="12" t="str">
        <f t="shared" si="5"/>
        <v/>
      </c>
    </row>
    <row r="17" ht="18" customHeight="1" collapsed="1" spans="1:22">
      <c r="A17" s="8"/>
      <c r="B17" s="9">
        <v>4</v>
      </c>
      <c r="C17" s="9" t="s">
        <v>9</v>
      </c>
      <c r="D17" s="10">
        <v>45884</v>
      </c>
      <c r="E17" s="10">
        <v>45884</v>
      </c>
      <c r="F17" s="10"/>
      <c r="G17" s="11" t="s">
        <v>10</v>
      </c>
      <c r="H17" s="12" t="str">
        <f t="shared" ref="H17:L42" si="6">IF(AND($D17&lt;=H$11,$E17&gt;=H$11),$G17,"")</f>
        <v>Pendiente</v>
      </c>
      <c r="I17" s="12" t="str">
        <f t="shared" si="6"/>
        <v/>
      </c>
      <c r="J17" s="12" t="str">
        <f t="shared" si="6"/>
        <v/>
      </c>
      <c r="K17" s="12" t="str">
        <f t="shared" si="6"/>
        <v/>
      </c>
      <c r="L17" s="12" t="str">
        <f t="shared" ref="L17:V17" si="7">IF(AND($D17&lt;=L$11,$E17&gt;=L$11),$G17,"")</f>
        <v/>
      </c>
      <c r="M17" s="12" t="str">
        <f t="shared" si="7"/>
        <v/>
      </c>
      <c r="N17" s="12" t="str">
        <f t="shared" si="7"/>
        <v/>
      </c>
      <c r="O17" s="12" t="str">
        <f t="shared" si="7"/>
        <v/>
      </c>
      <c r="P17" s="12" t="str">
        <f t="shared" si="7"/>
        <v/>
      </c>
      <c r="Q17" s="12" t="str">
        <f t="shared" si="7"/>
        <v/>
      </c>
      <c r="R17" s="12" t="str">
        <f t="shared" si="7"/>
        <v/>
      </c>
      <c r="S17" s="12" t="str">
        <f t="shared" si="7"/>
        <v/>
      </c>
      <c r="T17" s="12" t="str">
        <f t="shared" si="7"/>
        <v/>
      </c>
      <c r="U17" s="12" t="str">
        <f t="shared" si="7"/>
        <v/>
      </c>
      <c r="V17" s="12" t="str">
        <f t="shared" si="7"/>
        <v/>
      </c>
    </row>
    <row r="18" ht="18" hidden="1" customHeight="1" outlineLevel="1" spans="1:22">
      <c r="A18" s="13"/>
      <c r="B18" s="13"/>
      <c r="C18" s="9" t="s">
        <v>12</v>
      </c>
      <c r="D18" s="10"/>
      <c r="E18" s="10"/>
      <c r="F18" s="10"/>
      <c r="G18" s="11" t="s">
        <v>11</v>
      </c>
      <c r="H18" s="12" t="str">
        <f t="shared" si="6"/>
        <v/>
      </c>
      <c r="I18" s="12" t="str">
        <f t="shared" si="6"/>
        <v/>
      </c>
      <c r="J18" s="12" t="str">
        <f t="shared" si="6"/>
        <v/>
      </c>
      <c r="K18" s="12" t="str">
        <f t="shared" si="6"/>
        <v/>
      </c>
      <c r="L18" s="12" t="str">
        <f t="shared" ref="L18:V18" si="8">IF(AND($D18&lt;=L$11,$E18&gt;=L$11),$G18,"")</f>
        <v/>
      </c>
      <c r="M18" s="12" t="str">
        <f t="shared" si="8"/>
        <v/>
      </c>
      <c r="N18" s="12" t="str">
        <f t="shared" si="8"/>
        <v/>
      </c>
      <c r="O18" s="12" t="str">
        <f t="shared" si="8"/>
        <v/>
      </c>
      <c r="P18" s="12" t="str">
        <f t="shared" si="8"/>
        <v/>
      </c>
      <c r="Q18" s="12" t="str">
        <f t="shared" si="8"/>
        <v/>
      </c>
      <c r="R18" s="12" t="str">
        <f t="shared" si="8"/>
        <v/>
      </c>
      <c r="S18" s="12" t="str">
        <f t="shared" si="8"/>
        <v/>
      </c>
      <c r="T18" s="12" t="str">
        <f t="shared" si="8"/>
        <v/>
      </c>
      <c r="U18" s="12" t="str">
        <f t="shared" si="8"/>
        <v/>
      </c>
      <c r="V18" s="12" t="str">
        <f t="shared" si="8"/>
        <v/>
      </c>
    </row>
    <row r="19" ht="18" hidden="1" customHeight="1" outlineLevel="1" spans="1:22">
      <c r="A19" s="13"/>
      <c r="B19" s="13"/>
      <c r="C19" s="9" t="s">
        <v>12</v>
      </c>
      <c r="D19" s="10"/>
      <c r="E19" s="10"/>
      <c r="F19" s="10"/>
      <c r="G19" s="11" t="s">
        <v>11</v>
      </c>
      <c r="H19" s="12" t="str">
        <f t="shared" si="6"/>
        <v/>
      </c>
      <c r="I19" s="12" t="str">
        <f t="shared" si="6"/>
        <v/>
      </c>
      <c r="J19" s="12" t="str">
        <f t="shared" si="6"/>
        <v/>
      </c>
      <c r="K19" s="12" t="str">
        <f t="shared" si="6"/>
        <v/>
      </c>
      <c r="L19" s="12" t="str">
        <f t="shared" ref="L19:V19" si="9">IF(AND($D19&lt;=L$11,$E19&gt;=L$11),$G19,"")</f>
        <v/>
      </c>
      <c r="M19" s="12" t="str">
        <f t="shared" si="9"/>
        <v/>
      </c>
      <c r="N19" s="12" t="str">
        <f t="shared" si="9"/>
        <v/>
      </c>
      <c r="O19" s="12" t="str">
        <f t="shared" si="9"/>
        <v/>
      </c>
      <c r="P19" s="12" t="str">
        <f t="shared" si="9"/>
        <v/>
      </c>
      <c r="Q19" s="12" t="str">
        <f t="shared" si="9"/>
        <v/>
      </c>
      <c r="R19" s="12" t="str">
        <f t="shared" si="9"/>
        <v/>
      </c>
      <c r="S19" s="12" t="str">
        <f t="shared" si="9"/>
        <v/>
      </c>
      <c r="T19" s="12" t="str">
        <f t="shared" si="9"/>
        <v/>
      </c>
      <c r="U19" s="12" t="str">
        <f t="shared" si="9"/>
        <v/>
      </c>
      <c r="V19" s="12" t="str">
        <f t="shared" si="9"/>
        <v/>
      </c>
    </row>
    <row r="20" ht="18" hidden="1" customHeight="1" outlineLevel="1" spans="1:22">
      <c r="A20" s="13"/>
      <c r="B20" s="13"/>
      <c r="C20" s="9" t="s">
        <v>12</v>
      </c>
      <c r="D20" s="10"/>
      <c r="E20" s="10"/>
      <c r="F20" s="10"/>
      <c r="G20" s="11" t="s">
        <v>11</v>
      </c>
      <c r="H20" s="12" t="str">
        <f t="shared" si="6"/>
        <v/>
      </c>
      <c r="I20" s="12" t="str">
        <f t="shared" si="6"/>
        <v/>
      </c>
      <c r="J20" s="12" t="str">
        <f t="shared" si="6"/>
        <v/>
      </c>
      <c r="K20" s="12" t="str">
        <f t="shared" si="6"/>
        <v/>
      </c>
      <c r="L20" s="12" t="str">
        <f t="shared" ref="L20:V20" si="10">IF(AND($D20&lt;=L$11,$E20&gt;=L$11),$G20,"")</f>
        <v/>
      </c>
      <c r="M20" s="12" t="str">
        <f t="shared" si="10"/>
        <v/>
      </c>
      <c r="N20" s="12" t="str">
        <f t="shared" si="10"/>
        <v/>
      </c>
      <c r="O20" s="12" t="str">
        <f t="shared" si="10"/>
        <v/>
      </c>
      <c r="P20" s="12" t="str">
        <f t="shared" si="10"/>
        <v/>
      </c>
      <c r="Q20" s="12" t="str">
        <f t="shared" si="10"/>
        <v/>
      </c>
      <c r="R20" s="12" t="str">
        <f t="shared" si="10"/>
        <v/>
      </c>
      <c r="S20" s="12" t="str">
        <f t="shared" si="10"/>
        <v/>
      </c>
      <c r="T20" s="12" t="str">
        <f t="shared" si="10"/>
        <v/>
      </c>
      <c r="U20" s="12" t="str">
        <f t="shared" si="10"/>
        <v/>
      </c>
      <c r="V20" s="12" t="str">
        <f t="shared" si="10"/>
        <v/>
      </c>
    </row>
    <row r="21" ht="18" hidden="1" customHeight="1" outlineLevel="1" spans="1:22">
      <c r="A21" s="13"/>
      <c r="B21" s="13"/>
      <c r="C21" s="9" t="s">
        <v>12</v>
      </c>
      <c r="D21" s="10"/>
      <c r="E21" s="10"/>
      <c r="F21" s="10"/>
      <c r="G21" s="11" t="s">
        <v>11</v>
      </c>
      <c r="H21" s="12" t="str">
        <f t="shared" si="6"/>
        <v/>
      </c>
      <c r="I21" s="12" t="str">
        <f t="shared" si="6"/>
        <v/>
      </c>
      <c r="J21" s="12" t="str">
        <f t="shared" si="6"/>
        <v/>
      </c>
      <c r="K21" s="12" t="str">
        <f t="shared" si="6"/>
        <v/>
      </c>
      <c r="L21" s="12" t="str">
        <f t="shared" ref="L21:V21" si="11">IF(AND($D21&lt;=L$11,$E21&gt;=L$11),$G21,"")</f>
        <v/>
      </c>
      <c r="M21" s="12" t="str">
        <f t="shared" si="11"/>
        <v/>
      </c>
      <c r="N21" s="12" t="str">
        <f t="shared" si="11"/>
        <v/>
      </c>
      <c r="O21" s="12" t="str">
        <f t="shared" si="11"/>
        <v/>
      </c>
      <c r="P21" s="12" t="str">
        <f t="shared" si="11"/>
        <v/>
      </c>
      <c r="Q21" s="12" t="str">
        <f t="shared" si="11"/>
        <v/>
      </c>
      <c r="R21" s="12" t="str">
        <f t="shared" si="11"/>
        <v/>
      </c>
      <c r="S21" s="12" t="str">
        <f t="shared" si="11"/>
        <v/>
      </c>
      <c r="T21" s="12" t="str">
        <f t="shared" si="11"/>
        <v/>
      </c>
      <c r="U21" s="12" t="str">
        <f t="shared" si="11"/>
        <v/>
      </c>
      <c r="V21" s="12" t="str">
        <f t="shared" si="11"/>
        <v/>
      </c>
    </row>
    <row r="22" ht="18" hidden="1" customHeight="1" outlineLevel="1" spans="1:22">
      <c r="A22" s="13"/>
      <c r="B22" s="13"/>
      <c r="C22" s="9" t="s">
        <v>12</v>
      </c>
      <c r="D22" s="10"/>
      <c r="E22" s="10"/>
      <c r="F22" s="10"/>
      <c r="G22" s="11" t="s">
        <v>11</v>
      </c>
      <c r="H22" s="12" t="str">
        <f t="shared" si="6"/>
        <v/>
      </c>
      <c r="I22" s="12" t="str">
        <f t="shared" si="6"/>
        <v/>
      </c>
      <c r="J22" s="12" t="str">
        <f t="shared" si="6"/>
        <v/>
      </c>
      <c r="K22" s="12" t="str">
        <f t="shared" si="6"/>
        <v/>
      </c>
      <c r="L22" s="12" t="str">
        <f t="shared" ref="L22:V22" si="12">IF(AND($D22&lt;=L$11,$E22&gt;=L$11),$G22,"")</f>
        <v/>
      </c>
      <c r="M22" s="12" t="str">
        <f t="shared" si="12"/>
        <v/>
      </c>
      <c r="N22" s="12" t="str">
        <f t="shared" si="12"/>
        <v/>
      </c>
      <c r="O22" s="12" t="str">
        <f t="shared" si="12"/>
        <v/>
      </c>
      <c r="P22" s="12" t="str">
        <f t="shared" si="12"/>
        <v/>
      </c>
      <c r="Q22" s="12" t="str">
        <f t="shared" si="12"/>
        <v/>
      </c>
      <c r="R22" s="12" t="str">
        <f t="shared" si="12"/>
        <v/>
      </c>
      <c r="S22" s="12" t="str">
        <f t="shared" si="12"/>
        <v/>
      </c>
      <c r="T22" s="12" t="str">
        <f t="shared" si="12"/>
        <v/>
      </c>
      <c r="U22" s="12" t="str">
        <f t="shared" si="12"/>
        <v/>
      </c>
      <c r="V22" s="12" t="str">
        <f t="shared" si="12"/>
        <v/>
      </c>
    </row>
    <row r="23" ht="18" customHeight="1" collapsed="1" spans="1:22">
      <c r="A23" s="14" t="s">
        <v>13</v>
      </c>
      <c r="B23" s="9"/>
      <c r="C23" s="9"/>
      <c r="D23" s="10"/>
      <c r="E23" s="10"/>
      <c r="F23" s="10"/>
      <c r="G23" s="11" t="s">
        <v>10</v>
      </c>
      <c r="H23" s="12" t="str">
        <f t="shared" si="6"/>
        <v/>
      </c>
      <c r="I23" s="12" t="str">
        <f t="shared" si="6"/>
        <v/>
      </c>
      <c r="J23" s="12" t="str">
        <f t="shared" si="6"/>
        <v/>
      </c>
      <c r="K23" s="12" t="str">
        <f t="shared" si="6"/>
        <v/>
      </c>
      <c r="L23" s="12" t="str">
        <f t="shared" ref="L23:V23" si="13">IF(AND($D23&lt;=L$11,$E23&gt;=L$11),$G23,"")</f>
        <v/>
      </c>
      <c r="M23" s="12" t="str">
        <f t="shared" si="13"/>
        <v/>
      </c>
      <c r="N23" s="12" t="str">
        <f t="shared" si="13"/>
        <v/>
      </c>
      <c r="O23" s="12" t="str">
        <f t="shared" si="13"/>
        <v/>
      </c>
      <c r="P23" s="12" t="str">
        <f t="shared" si="13"/>
        <v/>
      </c>
      <c r="Q23" s="12" t="str">
        <f t="shared" si="13"/>
        <v/>
      </c>
      <c r="R23" s="12" t="str">
        <f t="shared" si="13"/>
        <v/>
      </c>
      <c r="S23" s="12" t="str">
        <f t="shared" si="13"/>
        <v/>
      </c>
      <c r="T23" s="12" t="str">
        <f t="shared" si="13"/>
        <v/>
      </c>
      <c r="U23" s="12" t="str">
        <f t="shared" si="13"/>
        <v/>
      </c>
      <c r="V23" s="12" t="str">
        <f t="shared" si="13"/>
        <v/>
      </c>
    </row>
    <row r="24" ht="18" hidden="1" customHeight="1" outlineLevel="1" spans="1:22">
      <c r="A24" s="13"/>
      <c r="B24" s="13"/>
      <c r="C24" s="9"/>
      <c r="D24" s="10"/>
      <c r="E24" s="10"/>
      <c r="F24" s="10"/>
      <c r="G24" s="11" t="s">
        <v>10</v>
      </c>
      <c r="H24" s="12" t="str">
        <f t="shared" si="6"/>
        <v/>
      </c>
      <c r="I24" s="12" t="str">
        <f t="shared" si="6"/>
        <v/>
      </c>
      <c r="J24" s="12" t="str">
        <f t="shared" si="6"/>
        <v/>
      </c>
      <c r="K24" s="12" t="str">
        <f t="shared" si="6"/>
        <v/>
      </c>
      <c r="L24" s="12" t="str">
        <f t="shared" ref="L24:V24" si="14">IF(AND($D24&lt;=L$11,$E24&gt;=L$11),$G24,"")</f>
        <v/>
      </c>
      <c r="M24" s="12" t="str">
        <f t="shared" si="14"/>
        <v/>
      </c>
      <c r="N24" s="12" t="str">
        <f t="shared" si="14"/>
        <v/>
      </c>
      <c r="O24" s="12" t="str">
        <f t="shared" si="14"/>
        <v/>
      </c>
      <c r="P24" s="12" t="str">
        <f t="shared" si="14"/>
        <v/>
      </c>
      <c r="Q24" s="12" t="str">
        <f t="shared" si="14"/>
        <v/>
      </c>
      <c r="R24" s="12" t="str">
        <f t="shared" si="14"/>
        <v/>
      </c>
      <c r="S24" s="12" t="str">
        <f t="shared" si="14"/>
        <v/>
      </c>
      <c r="T24" s="12" t="str">
        <f t="shared" si="14"/>
        <v/>
      </c>
      <c r="U24" s="12" t="str">
        <f t="shared" si="14"/>
        <v/>
      </c>
      <c r="V24" s="12" t="str">
        <f t="shared" si="14"/>
        <v/>
      </c>
    </row>
    <row r="25" ht="18" hidden="1" customHeight="1" outlineLevel="1" spans="1:22">
      <c r="A25" s="13"/>
      <c r="B25" s="13"/>
      <c r="C25" s="9"/>
      <c r="D25" s="10"/>
      <c r="E25" s="10"/>
      <c r="F25" s="10"/>
      <c r="G25" s="11" t="s">
        <v>10</v>
      </c>
      <c r="H25" s="12" t="str">
        <f t="shared" si="6"/>
        <v/>
      </c>
      <c r="I25" s="12" t="str">
        <f t="shared" si="6"/>
        <v/>
      </c>
      <c r="J25" s="12" t="str">
        <f t="shared" si="6"/>
        <v/>
      </c>
      <c r="K25" s="12" t="str">
        <f t="shared" si="6"/>
        <v/>
      </c>
      <c r="L25" s="12" t="str">
        <f t="shared" ref="L25:V25" si="15">IF(AND($D25&lt;=L$11,$E25&gt;=L$11),$G25,"")</f>
        <v/>
      </c>
      <c r="M25" s="12" t="str">
        <f t="shared" si="15"/>
        <v/>
      </c>
      <c r="N25" s="12" t="str">
        <f t="shared" si="15"/>
        <v/>
      </c>
      <c r="O25" s="12" t="str">
        <f t="shared" si="15"/>
        <v/>
      </c>
      <c r="P25" s="12" t="str">
        <f t="shared" si="15"/>
        <v/>
      </c>
      <c r="Q25" s="12" t="str">
        <f t="shared" si="15"/>
        <v/>
      </c>
      <c r="R25" s="12" t="str">
        <f t="shared" si="15"/>
        <v/>
      </c>
      <c r="S25" s="12" t="str">
        <f t="shared" si="15"/>
        <v/>
      </c>
      <c r="T25" s="12" t="str">
        <f t="shared" si="15"/>
        <v/>
      </c>
      <c r="U25" s="12" t="str">
        <f t="shared" si="15"/>
        <v/>
      </c>
      <c r="V25" s="12" t="str">
        <f t="shared" si="15"/>
        <v/>
      </c>
    </row>
    <row r="26" ht="18" hidden="1" customHeight="1" outlineLevel="1" spans="1:22">
      <c r="A26" s="13"/>
      <c r="B26" s="13"/>
      <c r="C26" s="9"/>
      <c r="D26" s="10"/>
      <c r="E26" s="10"/>
      <c r="F26" s="10"/>
      <c r="G26" s="11" t="s">
        <v>10</v>
      </c>
      <c r="H26" s="12" t="str">
        <f t="shared" si="6"/>
        <v/>
      </c>
      <c r="I26" s="12" t="str">
        <f t="shared" si="6"/>
        <v/>
      </c>
      <c r="J26" s="12" t="str">
        <f t="shared" si="6"/>
        <v/>
      </c>
      <c r="K26" s="12" t="str">
        <f t="shared" si="6"/>
        <v/>
      </c>
      <c r="L26" s="12" t="str">
        <f t="shared" ref="L26:V26" si="16">IF(AND($D26&lt;=L$11,$E26&gt;=L$11),$G26,"")</f>
        <v/>
      </c>
      <c r="M26" s="12" t="str">
        <f t="shared" si="16"/>
        <v/>
      </c>
      <c r="N26" s="12" t="str">
        <f t="shared" si="16"/>
        <v/>
      </c>
      <c r="O26" s="12" t="str">
        <f t="shared" si="16"/>
        <v/>
      </c>
      <c r="P26" s="12" t="str">
        <f t="shared" si="16"/>
        <v/>
      </c>
      <c r="Q26" s="12" t="str">
        <f t="shared" si="16"/>
        <v/>
      </c>
      <c r="R26" s="12" t="str">
        <f t="shared" si="16"/>
        <v/>
      </c>
      <c r="S26" s="12" t="str">
        <f t="shared" si="16"/>
        <v/>
      </c>
      <c r="T26" s="12" t="str">
        <f t="shared" si="16"/>
        <v/>
      </c>
      <c r="U26" s="12" t="str">
        <f t="shared" si="16"/>
        <v/>
      </c>
      <c r="V26" s="12" t="str">
        <f t="shared" si="16"/>
        <v/>
      </c>
    </row>
    <row r="27" ht="18" customHeight="1" collapsed="1" spans="1:22">
      <c r="A27" s="15" t="s">
        <v>14</v>
      </c>
      <c r="B27" s="9"/>
      <c r="C27" s="9"/>
      <c r="D27" s="10"/>
      <c r="E27" s="10"/>
      <c r="F27" s="10"/>
      <c r="G27" s="11" t="s">
        <v>10</v>
      </c>
      <c r="H27" s="12" t="str">
        <f t="shared" si="6"/>
        <v/>
      </c>
      <c r="I27" s="12" t="str">
        <f t="shared" si="6"/>
        <v/>
      </c>
      <c r="J27" s="12" t="str">
        <f t="shared" si="6"/>
        <v/>
      </c>
      <c r="K27" s="12" t="str">
        <f t="shared" si="6"/>
        <v/>
      </c>
      <c r="L27" s="12" t="str">
        <f t="shared" ref="L27:V27" si="17">IF(AND($D27&lt;=L$11,$E27&gt;=L$11),$G27,"")</f>
        <v/>
      </c>
      <c r="M27" s="12" t="str">
        <f t="shared" si="17"/>
        <v/>
      </c>
      <c r="N27" s="12" t="str">
        <f t="shared" si="17"/>
        <v/>
      </c>
      <c r="O27" s="12" t="str">
        <f t="shared" si="17"/>
        <v/>
      </c>
      <c r="P27" s="12" t="str">
        <f t="shared" si="17"/>
        <v/>
      </c>
      <c r="Q27" s="12" t="str">
        <f t="shared" si="17"/>
        <v/>
      </c>
      <c r="R27" s="12" t="str">
        <f t="shared" si="17"/>
        <v/>
      </c>
      <c r="S27" s="12" t="str">
        <f t="shared" si="17"/>
        <v/>
      </c>
      <c r="T27" s="12" t="str">
        <f t="shared" si="17"/>
        <v/>
      </c>
      <c r="U27" s="12" t="str">
        <f t="shared" si="17"/>
        <v/>
      </c>
      <c r="V27" s="12" t="str">
        <f t="shared" si="17"/>
        <v/>
      </c>
    </row>
    <row r="28" ht="18" hidden="1" customHeight="1" outlineLevel="1" spans="1:22">
      <c r="A28" s="13"/>
      <c r="B28" s="13"/>
      <c r="C28" s="9" t="s">
        <v>12</v>
      </c>
      <c r="D28" s="10"/>
      <c r="E28" s="10"/>
      <c r="F28" s="10"/>
      <c r="G28" s="11" t="s">
        <v>10</v>
      </c>
      <c r="H28" s="12" t="str">
        <f t="shared" si="6"/>
        <v/>
      </c>
      <c r="I28" s="12" t="str">
        <f t="shared" si="6"/>
        <v/>
      </c>
      <c r="J28" s="12" t="str">
        <f t="shared" si="6"/>
        <v/>
      </c>
      <c r="K28" s="12" t="str">
        <f t="shared" si="6"/>
        <v/>
      </c>
      <c r="L28" s="12" t="str">
        <f t="shared" ref="L28:V28" si="18">IF(AND($D28&lt;=L$11,$E28&gt;=L$11),$G28,"")</f>
        <v/>
      </c>
      <c r="M28" s="12" t="str">
        <f t="shared" si="18"/>
        <v/>
      </c>
      <c r="N28" s="12" t="str">
        <f t="shared" si="18"/>
        <v/>
      </c>
      <c r="O28" s="12" t="str">
        <f t="shared" si="18"/>
        <v/>
      </c>
      <c r="P28" s="12" t="str">
        <f t="shared" si="18"/>
        <v/>
      </c>
      <c r="Q28" s="12" t="str">
        <f t="shared" si="18"/>
        <v/>
      </c>
      <c r="R28" s="12" t="str">
        <f t="shared" si="18"/>
        <v/>
      </c>
      <c r="S28" s="12" t="str">
        <f t="shared" si="18"/>
        <v/>
      </c>
      <c r="T28" s="12" t="str">
        <f t="shared" si="18"/>
        <v/>
      </c>
      <c r="U28" s="12" t="str">
        <f t="shared" si="18"/>
        <v/>
      </c>
      <c r="V28" s="12" t="str">
        <f t="shared" si="18"/>
        <v/>
      </c>
    </row>
    <row r="29" ht="18" hidden="1" customHeight="1" outlineLevel="1" spans="1:22">
      <c r="A29" s="13"/>
      <c r="B29" s="13"/>
      <c r="C29" s="9" t="s">
        <v>12</v>
      </c>
      <c r="D29" s="10"/>
      <c r="E29" s="10"/>
      <c r="F29" s="10"/>
      <c r="G29" s="11" t="s">
        <v>10</v>
      </c>
      <c r="H29" s="12" t="str">
        <f t="shared" si="6"/>
        <v/>
      </c>
      <c r="I29" s="12" t="str">
        <f t="shared" si="6"/>
        <v/>
      </c>
      <c r="J29" s="12" t="str">
        <f t="shared" si="6"/>
        <v/>
      </c>
      <c r="K29" s="12" t="str">
        <f t="shared" si="6"/>
        <v/>
      </c>
      <c r="L29" s="12" t="str">
        <f t="shared" ref="L29:V29" si="19">IF(AND($D29&lt;=L$11,$E29&gt;=L$11),$G29,"")</f>
        <v/>
      </c>
      <c r="M29" s="12" t="str">
        <f t="shared" si="19"/>
        <v/>
      </c>
      <c r="N29" s="12" t="str">
        <f t="shared" si="19"/>
        <v/>
      </c>
      <c r="O29" s="12" t="str">
        <f t="shared" si="19"/>
        <v/>
      </c>
      <c r="P29" s="12" t="str">
        <f t="shared" si="19"/>
        <v/>
      </c>
      <c r="Q29" s="12" t="str">
        <f t="shared" si="19"/>
        <v/>
      </c>
      <c r="R29" s="12" t="str">
        <f t="shared" si="19"/>
        <v/>
      </c>
      <c r="S29" s="12" t="str">
        <f t="shared" si="19"/>
        <v/>
      </c>
      <c r="T29" s="12" t="str">
        <f t="shared" si="19"/>
        <v/>
      </c>
      <c r="U29" s="12" t="str">
        <f t="shared" si="19"/>
        <v/>
      </c>
      <c r="V29" s="12" t="str">
        <f t="shared" si="19"/>
        <v/>
      </c>
    </row>
    <row r="30" ht="18" hidden="1" customHeight="1" outlineLevel="1" spans="1:22">
      <c r="A30" s="13"/>
      <c r="B30" s="13"/>
      <c r="C30" s="9" t="s">
        <v>12</v>
      </c>
      <c r="D30" s="10"/>
      <c r="E30" s="10"/>
      <c r="F30" s="10"/>
      <c r="G30" s="11" t="s">
        <v>10</v>
      </c>
      <c r="H30" s="12" t="str">
        <f t="shared" si="6"/>
        <v/>
      </c>
      <c r="I30" s="12" t="str">
        <f t="shared" si="6"/>
        <v/>
      </c>
      <c r="J30" s="12" t="str">
        <f t="shared" si="6"/>
        <v/>
      </c>
      <c r="K30" s="12" t="str">
        <f t="shared" si="6"/>
        <v/>
      </c>
      <c r="L30" s="12" t="str">
        <f t="shared" ref="L30:V30" si="20">IF(AND($D30&lt;=L$11,$E30&gt;=L$11),$G30,"")</f>
        <v/>
      </c>
      <c r="M30" s="12" t="str">
        <f t="shared" si="20"/>
        <v/>
      </c>
      <c r="N30" s="12" t="str">
        <f t="shared" si="20"/>
        <v/>
      </c>
      <c r="O30" s="12" t="str">
        <f t="shared" si="20"/>
        <v/>
      </c>
      <c r="P30" s="12" t="str">
        <f t="shared" si="20"/>
        <v/>
      </c>
      <c r="Q30" s="12" t="str">
        <f t="shared" si="20"/>
        <v/>
      </c>
      <c r="R30" s="12" t="str">
        <f t="shared" si="20"/>
        <v/>
      </c>
      <c r="S30" s="12" t="str">
        <f t="shared" si="20"/>
        <v/>
      </c>
      <c r="T30" s="12" t="str">
        <f t="shared" si="20"/>
        <v/>
      </c>
      <c r="U30" s="12" t="str">
        <f t="shared" si="20"/>
        <v/>
      </c>
      <c r="V30" s="12" t="str">
        <f t="shared" si="20"/>
        <v/>
      </c>
    </row>
    <row r="31" ht="18" customHeight="1" collapsed="1" spans="1:22">
      <c r="A31" s="8"/>
      <c r="B31" s="9">
        <v>2</v>
      </c>
      <c r="C31" s="9" t="s">
        <v>9</v>
      </c>
      <c r="D31" s="10">
        <v>45887</v>
      </c>
      <c r="E31" s="10">
        <v>45887</v>
      </c>
      <c r="F31" s="10"/>
      <c r="G31" s="11" t="s">
        <v>10</v>
      </c>
      <c r="H31" s="12" t="str">
        <f>IF(AND($D31&lt;=H$11,$E31&gt;=H$11),$G31,"")</f>
        <v/>
      </c>
      <c r="I31" s="12" t="str">
        <f>IF(AND($D31&lt;=I$11,$E31&gt;=I$11),$G31,"")</f>
        <v/>
      </c>
      <c r="J31" s="12" t="str">
        <f>IF(AND($D31&lt;=J$11,$E31&gt;=J$11),$G31,"")</f>
        <v/>
      </c>
      <c r="K31" s="12" t="str">
        <f>IF(AND($D31&lt;=K$11,$E31&gt;=K$11),$G31,"")</f>
        <v>Pendiente</v>
      </c>
      <c r="L31" s="12" t="str">
        <f t="shared" ref="L31:V31" si="21">IF(AND($D31&lt;=L$11,$E31&gt;=L$11),$G31,"")</f>
        <v/>
      </c>
      <c r="M31" s="12" t="str">
        <f t="shared" si="21"/>
        <v/>
      </c>
      <c r="N31" s="12" t="str">
        <f t="shared" si="21"/>
        <v/>
      </c>
      <c r="O31" s="12" t="str">
        <f t="shared" si="21"/>
        <v/>
      </c>
      <c r="P31" s="12" t="str">
        <f t="shared" si="21"/>
        <v/>
      </c>
      <c r="Q31" s="12" t="str">
        <f t="shared" si="21"/>
        <v/>
      </c>
      <c r="R31" s="12" t="str">
        <f t="shared" si="21"/>
        <v/>
      </c>
      <c r="S31" s="12" t="str">
        <f t="shared" si="21"/>
        <v/>
      </c>
      <c r="T31" s="12" t="str">
        <f t="shared" si="21"/>
        <v/>
      </c>
      <c r="U31" s="12" t="str">
        <f t="shared" si="21"/>
        <v/>
      </c>
      <c r="V31" s="12" t="str">
        <f t="shared" si="21"/>
        <v/>
      </c>
    </row>
    <row r="32" ht="18" customHeight="1" spans="1:22">
      <c r="A32" s="8"/>
      <c r="B32" s="9">
        <v>2</v>
      </c>
      <c r="C32" s="9" t="s">
        <v>9</v>
      </c>
      <c r="D32" s="10">
        <v>45887</v>
      </c>
      <c r="E32" s="10">
        <v>45887</v>
      </c>
      <c r="F32" s="10"/>
      <c r="G32" s="11" t="s">
        <v>10</v>
      </c>
      <c r="H32" s="12" t="str">
        <f t="shared" si="6"/>
        <v/>
      </c>
      <c r="I32" s="12" t="str">
        <f t="shared" si="6"/>
        <v/>
      </c>
      <c r="J32" s="12" t="str">
        <f t="shared" si="6"/>
        <v/>
      </c>
      <c r="K32" s="12" t="str">
        <f t="shared" si="6"/>
        <v>Pendiente</v>
      </c>
      <c r="L32" s="12" t="str">
        <f t="shared" ref="L32:V32" si="22">IF(AND($D32&lt;=L$11,$E32&gt;=L$11),$G32,"")</f>
        <v/>
      </c>
      <c r="M32" s="12" t="str">
        <f t="shared" si="22"/>
        <v/>
      </c>
      <c r="N32" s="12" t="str">
        <f t="shared" si="22"/>
        <v/>
      </c>
      <c r="O32" s="12" t="str">
        <f t="shared" si="22"/>
        <v/>
      </c>
      <c r="P32" s="12" t="str">
        <f t="shared" si="22"/>
        <v/>
      </c>
      <c r="Q32" s="12" t="str">
        <f t="shared" si="22"/>
        <v/>
      </c>
      <c r="R32" s="12" t="str">
        <f t="shared" si="22"/>
        <v/>
      </c>
      <c r="S32" s="12" t="str">
        <f t="shared" si="22"/>
        <v/>
      </c>
      <c r="T32" s="12" t="str">
        <f t="shared" si="22"/>
        <v/>
      </c>
      <c r="U32" s="12" t="str">
        <f t="shared" si="22"/>
        <v/>
      </c>
      <c r="V32" s="12" t="str">
        <f t="shared" si="22"/>
        <v/>
      </c>
    </row>
    <row r="33" ht="18" customHeight="1" collapsed="1" spans="1:22">
      <c r="A33" s="8"/>
      <c r="B33" s="9">
        <v>2</v>
      </c>
      <c r="C33" s="9" t="s">
        <v>9</v>
      </c>
      <c r="D33" s="10">
        <v>45887</v>
      </c>
      <c r="E33" s="10">
        <v>45887</v>
      </c>
      <c r="F33" s="10"/>
      <c r="G33" s="11" t="s">
        <v>10</v>
      </c>
      <c r="H33" s="12" t="str">
        <f>IF(AND($D33&lt;=H$11,$E33&gt;=H$11),$G33,"")</f>
        <v/>
      </c>
      <c r="I33" s="12" t="str">
        <f>IF(AND($D33&lt;=I$11,$E33&gt;=I$11),$G33,"")</f>
        <v/>
      </c>
      <c r="J33" s="12" t="str">
        <f>IF(AND($D33&lt;=J$11,$E33&gt;=J$11),$G33,"")</f>
        <v/>
      </c>
      <c r="K33" s="12" t="str">
        <f>IF(AND($D33&lt;=K$11,$E33&gt;=K$11),$G33,"")</f>
        <v>Pendiente</v>
      </c>
      <c r="L33" s="12" t="str">
        <f t="shared" ref="L33:V33" si="23">IF(AND($D33&lt;=L$11,$E33&gt;=L$11),$G33,"")</f>
        <v/>
      </c>
      <c r="M33" s="12" t="str">
        <f t="shared" si="23"/>
        <v/>
      </c>
      <c r="N33" s="12" t="str">
        <f t="shared" si="23"/>
        <v/>
      </c>
      <c r="O33" s="12" t="str">
        <f t="shared" si="23"/>
        <v/>
      </c>
      <c r="P33" s="12" t="str">
        <f t="shared" si="23"/>
        <v/>
      </c>
      <c r="Q33" s="12" t="str">
        <f t="shared" si="23"/>
        <v/>
      </c>
      <c r="R33" s="12" t="str">
        <f t="shared" si="23"/>
        <v/>
      </c>
      <c r="S33" s="12" t="str">
        <f t="shared" si="23"/>
        <v/>
      </c>
      <c r="T33" s="12" t="str">
        <f t="shared" si="23"/>
        <v/>
      </c>
      <c r="U33" s="12" t="str">
        <f t="shared" si="23"/>
        <v/>
      </c>
      <c r="V33" s="12" t="str">
        <f t="shared" si="23"/>
        <v/>
      </c>
    </row>
    <row r="34" ht="18" hidden="1" customHeight="1" outlineLevel="1" spans="1:22">
      <c r="A34" s="13"/>
      <c r="B34" s="13"/>
      <c r="C34" s="9" t="s">
        <v>12</v>
      </c>
      <c r="D34" s="10"/>
      <c r="E34" s="10"/>
      <c r="F34" s="10"/>
      <c r="G34" s="11" t="s">
        <v>10</v>
      </c>
      <c r="H34" s="12" t="str">
        <f t="shared" si="6"/>
        <v/>
      </c>
      <c r="I34" s="12" t="str">
        <f t="shared" si="6"/>
        <v/>
      </c>
      <c r="J34" s="12" t="str">
        <f t="shared" si="6"/>
        <v/>
      </c>
      <c r="K34" s="12" t="str">
        <f t="shared" si="6"/>
        <v/>
      </c>
      <c r="L34" s="12" t="str">
        <f t="shared" ref="L34:V34" si="24">IF(AND($D34&lt;=L$11,$E34&gt;=L$11),$G34,"")</f>
        <v/>
      </c>
      <c r="M34" s="12" t="str">
        <f t="shared" si="24"/>
        <v/>
      </c>
      <c r="N34" s="12" t="str">
        <f t="shared" si="24"/>
        <v/>
      </c>
      <c r="O34" s="12" t="str">
        <f t="shared" si="24"/>
        <v/>
      </c>
      <c r="P34" s="12" t="str">
        <f t="shared" si="24"/>
        <v/>
      </c>
      <c r="Q34" s="12" t="str">
        <f t="shared" si="24"/>
        <v/>
      </c>
      <c r="R34" s="12" t="str">
        <f t="shared" si="24"/>
        <v/>
      </c>
      <c r="S34" s="12" t="str">
        <f t="shared" si="24"/>
        <v/>
      </c>
      <c r="T34" s="12" t="str">
        <f t="shared" si="24"/>
        <v/>
      </c>
      <c r="U34" s="12" t="str">
        <f t="shared" si="24"/>
        <v/>
      </c>
      <c r="V34" s="12" t="str">
        <f t="shared" si="24"/>
        <v/>
      </c>
    </row>
    <row r="35" ht="18" hidden="1" customHeight="1" outlineLevel="1" spans="1:22">
      <c r="A35" s="13"/>
      <c r="B35" s="13"/>
      <c r="C35" s="9" t="s">
        <v>12</v>
      </c>
      <c r="D35" s="10"/>
      <c r="E35" s="10"/>
      <c r="F35" s="10"/>
      <c r="G35" s="11" t="s">
        <v>10</v>
      </c>
      <c r="H35" s="12" t="str">
        <f t="shared" si="6"/>
        <v/>
      </c>
      <c r="I35" s="12" t="str">
        <f t="shared" si="6"/>
        <v/>
      </c>
      <c r="J35" s="12" t="str">
        <f t="shared" si="6"/>
        <v/>
      </c>
      <c r="K35" s="12" t="str">
        <f t="shared" si="6"/>
        <v/>
      </c>
      <c r="L35" s="12" t="str">
        <f t="shared" ref="L35:V35" si="25">IF(AND($D35&lt;=L$11,$E35&gt;=L$11),$G35,"")</f>
        <v/>
      </c>
      <c r="M35" s="12" t="str">
        <f t="shared" si="25"/>
        <v/>
      </c>
      <c r="N35" s="12" t="str">
        <f t="shared" si="25"/>
        <v/>
      </c>
      <c r="O35" s="12" t="str">
        <f t="shared" si="25"/>
        <v/>
      </c>
      <c r="P35" s="12" t="str">
        <f t="shared" si="25"/>
        <v/>
      </c>
      <c r="Q35" s="12" t="str">
        <f t="shared" si="25"/>
        <v/>
      </c>
      <c r="R35" s="12" t="str">
        <f t="shared" si="25"/>
        <v/>
      </c>
      <c r="S35" s="12" t="str">
        <f t="shared" si="25"/>
        <v/>
      </c>
      <c r="T35" s="12" t="str">
        <f t="shared" si="25"/>
        <v/>
      </c>
      <c r="U35" s="12" t="str">
        <f t="shared" si="25"/>
        <v/>
      </c>
      <c r="V35" s="12" t="str">
        <f t="shared" si="25"/>
        <v/>
      </c>
    </row>
    <row r="36" ht="18" hidden="1" customHeight="1" outlineLevel="1" spans="1:22">
      <c r="A36" s="13"/>
      <c r="B36" s="13"/>
      <c r="C36" s="9" t="s">
        <v>12</v>
      </c>
      <c r="D36" s="10"/>
      <c r="E36" s="10"/>
      <c r="F36" s="10"/>
      <c r="G36" s="11" t="s">
        <v>10</v>
      </c>
      <c r="H36" s="12" t="str">
        <f t="shared" si="6"/>
        <v/>
      </c>
      <c r="I36" s="12" t="str">
        <f t="shared" si="6"/>
        <v/>
      </c>
      <c r="J36" s="12" t="str">
        <f t="shared" si="6"/>
        <v/>
      </c>
      <c r="K36" s="12" t="str">
        <f t="shared" si="6"/>
        <v/>
      </c>
      <c r="L36" s="12" t="str">
        <f t="shared" ref="L36:V36" si="26">IF(AND($D36&lt;=L$11,$E36&gt;=L$11),$G36,"")</f>
        <v/>
      </c>
      <c r="M36" s="12" t="str">
        <f t="shared" si="26"/>
        <v/>
      </c>
      <c r="N36" s="12" t="str">
        <f t="shared" si="26"/>
        <v/>
      </c>
      <c r="O36" s="12" t="str">
        <f t="shared" si="26"/>
        <v/>
      </c>
      <c r="P36" s="12" t="str">
        <f t="shared" si="26"/>
        <v/>
      </c>
      <c r="Q36" s="12" t="str">
        <f t="shared" si="26"/>
        <v/>
      </c>
      <c r="R36" s="12" t="str">
        <f t="shared" si="26"/>
        <v/>
      </c>
      <c r="S36" s="12" t="str">
        <f t="shared" si="26"/>
        <v/>
      </c>
      <c r="T36" s="12" t="str">
        <f t="shared" si="26"/>
        <v/>
      </c>
      <c r="U36" s="12" t="str">
        <f t="shared" si="26"/>
        <v/>
      </c>
      <c r="V36" s="12" t="str">
        <f t="shared" si="26"/>
        <v/>
      </c>
    </row>
    <row r="37" ht="18" hidden="1" customHeight="1" outlineLevel="1" spans="1:22">
      <c r="A37" s="13"/>
      <c r="B37" s="13"/>
      <c r="C37" s="9" t="s">
        <v>12</v>
      </c>
      <c r="D37" s="10"/>
      <c r="E37" s="10"/>
      <c r="F37" s="10"/>
      <c r="G37" s="11" t="s">
        <v>10</v>
      </c>
      <c r="H37" s="12" t="str">
        <f t="shared" si="6"/>
        <v/>
      </c>
      <c r="I37" s="12" t="str">
        <f t="shared" si="6"/>
        <v/>
      </c>
      <c r="J37" s="12" t="str">
        <f t="shared" si="6"/>
        <v/>
      </c>
      <c r="K37" s="12" t="str">
        <f t="shared" si="6"/>
        <v/>
      </c>
      <c r="L37" s="12" t="str">
        <f t="shared" ref="L37:V37" si="27">IF(AND($D37&lt;=L$11,$E37&gt;=L$11),$G37,"")</f>
        <v/>
      </c>
      <c r="M37" s="12" t="str">
        <f t="shared" si="27"/>
        <v/>
      </c>
      <c r="N37" s="12" t="str">
        <f t="shared" si="27"/>
        <v/>
      </c>
      <c r="O37" s="12" t="str">
        <f t="shared" si="27"/>
        <v/>
      </c>
      <c r="P37" s="12" t="str">
        <f t="shared" si="27"/>
        <v/>
      </c>
      <c r="Q37" s="12" t="str">
        <f t="shared" si="27"/>
        <v/>
      </c>
      <c r="R37" s="12" t="str">
        <f t="shared" si="27"/>
        <v/>
      </c>
      <c r="S37" s="12" t="str">
        <f t="shared" si="27"/>
        <v/>
      </c>
      <c r="T37" s="12" t="str">
        <f t="shared" si="27"/>
        <v/>
      </c>
      <c r="U37" s="12" t="str">
        <f t="shared" si="27"/>
        <v/>
      </c>
      <c r="V37" s="12" t="str">
        <f t="shared" si="27"/>
        <v/>
      </c>
    </row>
    <row r="38" ht="18" hidden="1" customHeight="1" outlineLevel="1" spans="1:22">
      <c r="A38" s="13"/>
      <c r="B38" s="13"/>
      <c r="C38" s="9" t="s">
        <v>12</v>
      </c>
      <c r="D38" s="10"/>
      <c r="E38" s="10"/>
      <c r="F38" s="10"/>
      <c r="G38" s="11" t="s">
        <v>10</v>
      </c>
      <c r="H38" s="12" t="str">
        <f t="shared" si="6"/>
        <v/>
      </c>
      <c r="I38" s="12" t="str">
        <f t="shared" si="6"/>
        <v/>
      </c>
      <c r="J38" s="12" t="str">
        <f t="shared" si="6"/>
        <v/>
      </c>
      <c r="K38" s="12" t="str">
        <f t="shared" si="6"/>
        <v/>
      </c>
      <c r="L38" s="12" t="str">
        <f t="shared" ref="L38:V38" si="28">IF(AND($D38&lt;=L$11,$E38&gt;=L$11),$G38,"")</f>
        <v/>
      </c>
      <c r="M38" s="12" t="str">
        <f t="shared" si="28"/>
        <v/>
      </c>
      <c r="N38" s="12" t="str">
        <f t="shared" si="28"/>
        <v/>
      </c>
      <c r="O38" s="12" t="str">
        <f t="shared" si="28"/>
        <v/>
      </c>
      <c r="P38" s="12" t="str">
        <f t="shared" si="28"/>
        <v/>
      </c>
      <c r="Q38" s="12" t="str">
        <f t="shared" si="28"/>
        <v/>
      </c>
      <c r="R38" s="12" t="str">
        <f t="shared" si="28"/>
        <v/>
      </c>
      <c r="S38" s="12" t="str">
        <f t="shared" si="28"/>
        <v/>
      </c>
      <c r="T38" s="12" t="str">
        <f t="shared" si="28"/>
        <v/>
      </c>
      <c r="U38" s="12" t="str">
        <f t="shared" si="28"/>
        <v/>
      </c>
      <c r="V38" s="12" t="str">
        <f t="shared" si="28"/>
        <v/>
      </c>
    </row>
    <row r="39" ht="18" hidden="1" customHeight="1" outlineLevel="1" spans="1:22">
      <c r="A39" s="13"/>
      <c r="B39" s="13"/>
      <c r="C39" s="9" t="s">
        <v>12</v>
      </c>
      <c r="D39" s="10"/>
      <c r="E39" s="10"/>
      <c r="F39" s="10"/>
      <c r="G39" s="11" t="s">
        <v>10</v>
      </c>
      <c r="H39" s="12" t="str">
        <f t="shared" si="6"/>
        <v/>
      </c>
      <c r="I39" s="12" t="str">
        <f t="shared" si="6"/>
        <v/>
      </c>
      <c r="J39" s="12" t="str">
        <f t="shared" si="6"/>
        <v/>
      </c>
      <c r="K39" s="12" t="str">
        <f t="shared" si="6"/>
        <v/>
      </c>
      <c r="L39" s="12" t="str">
        <f t="shared" ref="L39:V39" si="29">IF(AND($D39&lt;=L$11,$E39&gt;=L$11),$G39,"")</f>
        <v/>
      </c>
      <c r="M39" s="12" t="str">
        <f t="shared" si="29"/>
        <v/>
      </c>
      <c r="N39" s="12" t="str">
        <f t="shared" si="29"/>
        <v/>
      </c>
      <c r="O39" s="12" t="str">
        <f t="shared" si="29"/>
        <v/>
      </c>
      <c r="P39" s="12" t="str">
        <f t="shared" si="29"/>
        <v/>
      </c>
      <c r="Q39" s="12" t="str">
        <f t="shared" si="29"/>
        <v/>
      </c>
      <c r="R39" s="12" t="str">
        <f t="shared" si="29"/>
        <v/>
      </c>
      <c r="S39" s="12" t="str">
        <f t="shared" si="29"/>
        <v/>
      </c>
      <c r="T39" s="12" t="str">
        <f t="shared" si="29"/>
        <v/>
      </c>
      <c r="U39" s="12" t="str">
        <f t="shared" si="29"/>
        <v/>
      </c>
      <c r="V39" s="12" t="str">
        <f t="shared" si="29"/>
        <v/>
      </c>
    </row>
    <row r="40" ht="18" hidden="1" customHeight="1" outlineLevel="1" spans="1:22">
      <c r="A40" s="13"/>
      <c r="B40" s="13"/>
      <c r="C40" s="9" t="s">
        <v>12</v>
      </c>
      <c r="D40" s="10"/>
      <c r="E40" s="10"/>
      <c r="F40" s="10"/>
      <c r="G40" s="11" t="s">
        <v>10</v>
      </c>
      <c r="H40" s="12" t="str">
        <f t="shared" si="6"/>
        <v/>
      </c>
      <c r="I40" s="12" t="str">
        <f t="shared" si="6"/>
        <v/>
      </c>
      <c r="J40" s="12" t="str">
        <f t="shared" si="6"/>
        <v/>
      </c>
      <c r="K40" s="12" t="str">
        <f t="shared" si="6"/>
        <v/>
      </c>
      <c r="L40" s="12" t="str">
        <f t="shared" ref="L40:V40" si="30">IF(AND($D40&lt;=L$11,$E40&gt;=L$11),$G40,"")</f>
        <v/>
      </c>
      <c r="M40" s="12" t="str">
        <f t="shared" si="30"/>
        <v/>
      </c>
      <c r="N40" s="12" t="str">
        <f t="shared" si="30"/>
        <v/>
      </c>
      <c r="O40" s="12" t="str">
        <f t="shared" si="30"/>
        <v/>
      </c>
      <c r="P40" s="12" t="str">
        <f t="shared" si="30"/>
        <v/>
      </c>
      <c r="Q40" s="12" t="str">
        <f t="shared" si="30"/>
        <v/>
      </c>
      <c r="R40" s="12" t="str">
        <f t="shared" si="30"/>
        <v/>
      </c>
      <c r="S40" s="12" t="str">
        <f t="shared" si="30"/>
        <v/>
      </c>
      <c r="T40" s="12" t="str">
        <f t="shared" si="30"/>
        <v/>
      </c>
      <c r="U40" s="12" t="str">
        <f t="shared" si="30"/>
        <v/>
      </c>
      <c r="V40" s="12" t="str">
        <f t="shared" si="30"/>
        <v/>
      </c>
    </row>
    <row r="41" ht="18" customHeight="1" spans="1:22">
      <c r="A41" s="15" t="s">
        <v>15</v>
      </c>
      <c r="B41" s="9"/>
      <c r="C41" s="9"/>
      <c r="D41" s="10"/>
      <c r="E41" s="10"/>
      <c r="F41" s="10"/>
      <c r="G41" s="11" t="s">
        <v>10</v>
      </c>
      <c r="H41" s="12" t="str">
        <f t="shared" si="6"/>
        <v/>
      </c>
      <c r="I41" s="12" t="str">
        <f t="shared" si="6"/>
        <v/>
      </c>
      <c r="J41" s="12" t="str">
        <f t="shared" si="6"/>
        <v/>
      </c>
      <c r="K41" s="12" t="str">
        <f t="shared" si="6"/>
        <v/>
      </c>
      <c r="L41" s="12" t="str">
        <f t="shared" ref="L41:V41" si="31">IF(AND($D41&lt;=L$11,$E41&gt;=L$11),$G41,"")</f>
        <v/>
      </c>
      <c r="M41" s="12" t="str">
        <f t="shared" si="31"/>
        <v/>
      </c>
      <c r="N41" s="12" t="str">
        <f t="shared" si="31"/>
        <v/>
      </c>
      <c r="O41" s="12" t="str">
        <f t="shared" si="31"/>
        <v/>
      </c>
      <c r="P41" s="12" t="str">
        <f t="shared" si="31"/>
        <v/>
      </c>
      <c r="Q41" s="12" t="str">
        <f t="shared" si="31"/>
        <v/>
      </c>
      <c r="R41" s="12" t="str">
        <f t="shared" si="31"/>
        <v/>
      </c>
      <c r="S41" s="12" t="str">
        <f t="shared" si="31"/>
        <v/>
      </c>
      <c r="T41" s="12" t="str">
        <f t="shared" si="31"/>
        <v/>
      </c>
      <c r="U41" s="12" t="str">
        <f t="shared" si="31"/>
        <v/>
      </c>
      <c r="V41" s="12" t="str">
        <f t="shared" si="31"/>
        <v/>
      </c>
    </row>
    <row r="42" ht="18" customHeight="1" spans="1:22">
      <c r="A42" s="8"/>
      <c r="B42" s="9">
        <v>4</v>
      </c>
      <c r="C42" s="9" t="s">
        <v>9</v>
      </c>
      <c r="D42" s="10">
        <v>45888</v>
      </c>
      <c r="E42" s="10">
        <v>45888</v>
      </c>
      <c r="F42" s="10"/>
      <c r="G42" s="11" t="s">
        <v>10</v>
      </c>
      <c r="H42" s="12" t="str">
        <f t="shared" si="6"/>
        <v/>
      </c>
      <c r="I42" s="12" t="str">
        <f t="shared" si="6"/>
        <v/>
      </c>
      <c r="J42" s="12" t="str">
        <f t="shared" si="6"/>
        <v/>
      </c>
      <c r="K42" s="12" t="str">
        <f t="shared" si="6"/>
        <v/>
      </c>
      <c r="L42" s="12" t="str">
        <f t="shared" ref="L42:V42" si="32">IF(AND($D42&lt;=L$11,$E42&gt;=L$11),$G42,"")</f>
        <v>Pendiente</v>
      </c>
      <c r="M42" s="12" t="str">
        <f t="shared" si="32"/>
        <v/>
      </c>
      <c r="N42" s="12" t="str">
        <f t="shared" si="32"/>
        <v/>
      </c>
      <c r="O42" s="12" t="str">
        <f t="shared" si="32"/>
        <v/>
      </c>
      <c r="P42" s="12" t="str">
        <f t="shared" si="32"/>
        <v/>
      </c>
      <c r="Q42" s="12" t="str">
        <f t="shared" si="32"/>
        <v/>
      </c>
      <c r="R42" s="12" t="str">
        <f t="shared" si="32"/>
        <v/>
      </c>
      <c r="S42" s="12" t="str">
        <f t="shared" si="32"/>
        <v/>
      </c>
      <c r="T42" s="12" t="str">
        <f t="shared" si="32"/>
        <v/>
      </c>
      <c r="U42" s="12" t="str">
        <f t="shared" si="32"/>
        <v/>
      </c>
      <c r="V42" s="12" t="str">
        <f t="shared" si="32"/>
        <v/>
      </c>
    </row>
    <row r="43" ht="18" customHeight="1" spans="1:22">
      <c r="A43" s="13"/>
      <c r="B43" s="13">
        <v>4</v>
      </c>
      <c r="C43" s="9" t="s">
        <v>9</v>
      </c>
      <c r="D43" s="10">
        <v>45888</v>
      </c>
      <c r="E43" s="10">
        <v>45888</v>
      </c>
      <c r="F43" s="10"/>
      <c r="G43" s="11" t="s">
        <v>10</v>
      </c>
      <c r="H43" s="12"/>
      <c r="I43" s="12"/>
      <c r="J43" s="12"/>
      <c r="K43" s="12"/>
      <c r="L43" s="12" t="str">
        <f t="shared" ref="L43:L68" si="33">IF(AND($D43&lt;=L$11,$E43&gt;=L$11),$G43,"")</f>
        <v>Pendiente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ht="18" customHeight="1" spans="1:22">
      <c r="A44" s="13"/>
      <c r="B44" s="13">
        <v>4</v>
      </c>
      <c r="C44" s="9" t="s">
        <v>9</v>
      </c>
      <c r="D44" s="10">
        <v>45889</v>
      </c>
      <c r="E44" s="10">
        <v>45889</v>
      </c>
      <c r="F44" s="10"/>
      <c r="G44" s="11" t="s">
        <v>10</v>
      </c>
      <c r="H44" s="12"/>
      <c r="I44" s="12"/>
      <c r="J44" s="12"/>
      <c r="K44" s="12"/>
      <c r="L44" s="12" t="str">
        <f t="shared" si="33"/>
        <v/>
      </c>
      <c r="M44" s="12" t="str">
        <f t="shared" ref="M44:V44" si="34">IF(AND($D44&lt;=M$11,$E44&gt;=M$11),$G44,"")</f>
        <v>Pendiente</v>
      </c>
      <c r="N44" s="12" t="str">
        <f t="shared" si="34"/>
        <v/>
      </c>
      <c r="O44" s="12" t="str">
        <f t="shared" si="34"/>
        <v/>
      </c>
      <c r="P44" s="12" t="str">
        <f t="shared" si="34"/>
        <v/>
      </c>
      <c r="Q44" s="12" t="str">
        <f t="shared" si="34"/>
        <v/>
      </c>
      <c r="R44" s="12" t="str">
        <f t="shared" si="34"/>
        <v/>
      </c>
      <c r="S44" s="12" t="str">
        <f t="shared" si="34"/>
        <v/>
      </c>
      <c r="T44" s="12" t="str">
        <f t="shared" si="34"/>
        <v/>
      </c>
      <c r="U44" s="12" t="str">
        <f t="shared" si="34"/>
        <v/>
      </c>
      <c r="V44" s="12" t="str">
        <f t="shared" si="34"/>
        <v/>
      </c>
    </row>
    <row r="45" ht="18" customHeight="1" spans="1:22">
      <c r="A45" s="16" t="s">
        <v>16</v>
      </c>
      <c r="B45" s="13"/>
      <c r="C45" s="13"/>
      <c r="D45" s="10"/>
      <c r="E45" s="10"/>
      <c r="F45" s="10"/>
      <c r="G45" s="11"/>
      <c r="H45" s="12"/>
      <c r="I45" s="12"/>
      <c r="J45" s="12"/>
      <c r="K45" s="12"/>
      <c r="L45" s="12" t="str">
        <f t="shared" si="33"/>
        <v/>
      </c>
      <c r="M45" s="12" t="str">
        <f t="shared" ref="M45:M68" si="35">IF(AND($D45&lt;=M$11,$E45&gt;=M$11),$G45,"")</f>
        <v/>
      </c>
      <c r="N45" s="12"/>
      <c r="O45" s="12"/>
      <c r="P45" s="12"/>
      <c r="Q45" s="12"/>
      <c r="R45" s="12"/>
      <c r="S45" s="12"/>
      <c r="T45" s="12"/>
      <c r="U45" s="12"/>
      <c r="V45" s="12"/>
    </row>
    <row r="46" ht="18" customHeight="1" spans="1:22">
      <c r="A46" s="13"/>
      <c r="B46" s="13">
        <v>7</v>
      </c>
      <c r="C46" s="9" t="s">
        <v>9</v>
      </c>
      <c r="D46" s="10">
        <v>45890</v>
      </c>
      <c r="E46" s="10">
        <v>45890</v>
      </c>
      <c r="F46" s="10"/>
      <c r="G46" s="11" t="s">
        <v>10</v>
      </c>
      <c r="H46" s="12"/>
      <c r="I46" s="12"/>
      <c r="J46" s="12"/>
      <c r="K46" s="12"/>
      <c r="L46" s="12" t="str">
        <f t="shared" si="33"/>
        <v/>
      </c>
      <c r="M46" s="12" t="str">
        <f t="shared" si="35"/>
        <v/>
      </c>
      <c r="N46" s="12" t="str">
        <f t="shared" ref="M46:V46" si="36">IF(AND($D46&lt;=N$11,$E46&gt;=N$11),$G46,"")</f>
        <v>Pendiente</v>
      </c>
      <c r="O46" s="12" t="str">
        <f t="shared" si="36"/>
        <v/>
      </c>
      <c r="P46" s="12" t="str">
        <f t="shared" si="36"/>
        <v/>
      </c>
      <c r="Q46" s="12" t="str">
        <f t="shared" si="36"/>
        <v/>
      </c>
      <c r="R46" s="12" t="str">
        <f t="shared" si="36"/>
        <v/>
      </c>
      <c r="S46" s="12" t="str">
        <f t="shared" si="36"/>
        <v/>
      </c>
      <c r="T46" s="12" t="str">
        <f t="shared" si="36"/>
        <v/>
      </c>
      <c r="U46" s="12" t="str">
        <f t="shared" si="36"/>
        <v/>
      </c>
      <c r="V46" s="12" t="str">
        <f t="shared" si="36"/>
        <v/>
      </c>
    </row>
    <row r="47" ht="18" customHeight="1" spans="1:22">
      <c r="A47" s="8"/>
      <c r="B47" s="9">
        <v>7</v>
      </c>
      <c r="C47" s="9" t="s">
        <v>9</v>
      </c>
      <c r="D47" s="10">
        <v>45891</v>
      </c>
      <c r="E47" s="10">
        <v>45891</v>
      </c>
      <c r="F47" s="10"/>
      <c r="G47" s="11" t="s">
        <v>10</v>
      </c>
      <c r="H47" s="12"/>
      <c r="I47" s="12"/>
      <c r="J47" s="12"/>
      <c r="K47" s="12"/>
      <c r="L47" s="12" t="str">
        <f t="shared" si="33"/>
        <v/>
      </c>
      <c r="M47" s="12" t="str">
        <f t="shared" si="35"/>
        <v/>
      </c>
      <c r="N47" s="12" t="str">
        <f t="shared" ref="M47:V47" si="37">IF(AND($D47&lt;=N$11,$E47&gt;=N$11),$G47,"")</f>
        <v/>
      </c>
      <c r="O47" s="12" t="str">
        <f t="shared" si="37"/>
        <v>Pendiente</v>
      </c>
      <c r="P47" s="12" t="str">
        <f t="shared" si="37"/>
        <v/>
      </c>
      <c r="Q47" s="12" t="str">
        <f t="shared" si="37"/>
        <v/>
      </c>
      <c r="R47" s="12" t="str">
        <f t="shared" si="37"/>
        <v/>
      </c>
      <c r="S47" s="12" t="str">
        <f t="shared" si="37"/>
        <v/>
      </c>
      <c r="T47" s="12" t="str">
        <f t="shared" si="37"/>
        <v/>
      </c>
      <c r="U47" s="12" t="str">
        <f t="shared" si="37"/>
        <v/>
      </c>
      <c r="V47" s="12" t="str">
        <f t="shared" si="37"/>
        <v/>
      </c>
    </row>
    <row r="48" ht="18" customHeight="1" spans="1:22">
      <c r="A48" s="13"/>
      <c r="B48" s="13">
        <v>7</v>
      </c>
      <c r="C48" s="9" t="s">
        <v>9</v>
      </c>
      <c r="D48" s="10">
        <v>45892</v>
      </c>
      <c r="E48" s="10">
        <v>45892</v>
      </c>
      <c r="F48" s="10"/>
      <c r="G48" s="11" t="s">
        <v>10</v>
      </c>
      <c r="H48" s="12"/>
      <c r="I48" s="12"/>
      <c r="J48" s="12"/>
      <c r="K48" s="12"/>
      <c r="L48" s="12" t="str">
        <f t="shared" si="33"/>
        <v/>
      </c>
      <c r="M48" s="12" t="str">
        <f t="shared" si="35"/>
        <v/>
      </c>
      <c r="N48" s="12" t="str">
        <f t="shared" ref="M48:V48" si="38">IF(AND($D48&lt;=N$11,$E48&gt;=N$11),$G48,"")</f>
        <v/>
      </c>
      <c r="O48" s="12" t="str">
        <f t="shared" si="38"/>
        <v/>
      </c>
      <c r="P48" s="12" t="str">
        <f t="shared" si="38"/>
        <v>Pendiente</v>
      </c>
      <c r="Q48" s="12" t="str">
        <f t="shared" si="38"/>
        <v/>
      </c>
      <c r="R48" s="12" t="str">
        <f t="shared" si="38"/>
        <v/>
      </c>
      <c r="S48" s="12" t="str">
        <f t="shared" si="38"/>
        <v/>
      </c>
      <c r="T48" s="12" t="str">
        <f t="shared" si="38"/>
        <v/>
      </c>
      <c r="U48" s="12" t="str">
        <f t="shared" si="38"/>
        <v/>
      </c>
      <c r="V48" s="12" t="str">
        <f t="shared" si="38"/>
        <v/>
      </c>
    </row>
    <row r="49" ht="18" customHeight="1" spans="1:22">
      <c r="A49" s="16" t="s">
        <v>17</v>
      </c>
      <c r="B49" s="13"/>
      <c r="C49" s="13"/>
      <c r="D49" s="10"/>
      <c r="E49" s="10"/>
      <c r="F49" s="10"/>
      <c r="G49" s="11"/>
      <c r="H49" s="12"/>
      <c r="I49" s="12"/>
      <c r="J49" s="12"/>
      <c r="K49" s="12"/>
      <c r="L49" s="12" t="str">
        <f t="shared" si="33"/>
        <v/>
      </c>
      <c r="M49" s="12" t="str">
        <f t="shared" si="35"/>
        <v/>
      </c>
      <c r="N49" s="12" t="str">
        <f t="shared" ref="M49:V49" si="39">IF(AND($D49&lt;=N$11,$E49&gt;=N$11),$G49,"")</f>
        <v/>
      </c>
      <c r="O49" s="12" t="str">
        <f t="shared" si="39"/>
        <v/>
      </c>
      <c r="P49" s="12" t="str">
        <f t="shared" si="39"/>
        <v/>
      </c>
      <c r="Q49" s="12" t="str">
        <f t="shared" si="39"/>
        <v/>
      </c>
      <c r="R49" s="12" t="str">
        <f t="shared" si="39"/>
        <v/>
      </c>
      <c r="S49" s="12" t="str">
        <f t="shared" si="39"/>
        <v/>
      </c>
      <c r="T49" s="12" t="str">
        <f t="shared" si="39"/>
        <v/>
      </c>
      <c r="U49" s="12" t="str">
        <f t="shared" si="39"/>
        <v/>
      </c>
      <c r="V49" s="12" t="str">
        <f t="shared" si="39"/>
        <v/>
      </c>
    </row>
    <row r="50" ht="18" customHeight="1" spans="1:22">
      <c r="A50" s="13"/>
      <c r="B50" s="13">
        <v>7</v>
      </c>
      <c r="C50" s="9" t="s">
        <v>9</v>
      </c>
      <c r="D50" s="10">
        <v>45893</v>
      </c>
      <c r="E50" s="10">
        <v>45893</v>
      </c>
      <c r="F50" s="10"/>
      <c r="G50" s="11" t="s">
        <v>10</v>
      </c>
      <c r="H50" s="12"/>
      <c r="I50" s="12"/>
      <c r="J50" s="12"/>
      <c r="K50" s="12"/>
      <c r="L50" s="12"/>
      <c r="M50" s="12" t="str">
        <f t="shared" si="35"/>
        <v/>
      </c>
      <c r="N50" s="12" t="str">
        <f t="shared" ref="N50:V50" si="40">IF(AND($D50&lt;=N$11,$E50&gt;=N$11),$G50,"")</f>
        <v/>
      </c>
      <c r="O50" s="12" t="str">
        <f t="shared" si="40"/>
        <v/>
      </c>
      <c r="P50" s="12" t="str">
        <f t="shared" si="40"/>
        <v/>
      </c>
      <c r="Q50" s="12" t="str">
        <f t="shared" si="40"/>
        <v>Pendiente</v>
      </c>
      <c r="R50" s="12" t="str">
        <f t="shared" si="40"/>
        <v/>
      </c>
      <c r="S50" s="12" t="str">
        <f t="shared" si="40"/>
        <v/>
      </c>
      <c r="T50" s="12" t="str">
        <f t="shared" si="40"/>
        <v/>
      </c>
      <c r="U50" s="12" t="str">
        <f t="shared" si="40"/>
        <v/>
      </c>
      <c r="V50" s="12" t="str">
        <f t="shared" si="40"/>
        <v/>
      </c>
    </row>
    <row r="51" ht="18" customHeight="1" spans="1:22">
      <c r="A51" s="13"/>
      <c r="B51" s="13">
        <v>7</v>
      </c>
      <c r="C51" s="9" t="s">
        <v>9</v>
      </c>
      <c r="D51" s="10">
        <v>45894</v>
      </c>
      <c r="E51" s="10">
        <v>45894</v>
      </c>
      <c r="F51" s="10"/>
      <c r="G51" s="11" t="s">
        <v>10</v>
      </c>
      <c r="H51" s="12"/>
      <c r="I51" s="12"/>
      <c r="J51" s="12"/>
      <c r="K51" s="12"/>
      <c r="L51" s="12" t="str">
        <f t="shared" si="33"/>
        <v/>
      </c>
      <c r="M51" s="12" t="str">
        <f t="shared" si="35"/>
        <v/>
      </c>
      <c r="N51" s="12" t="str">
        <f t="shared" ref="N51:V51" si="41">IF(AND($D51&lt;=N$11,$E51&gt;=N$11),$G51,"")</f>
        <v/>
      </c>
      <c r="O51" s="12" t="str">
        <f t="shared" si="41"/>
        <v/>
      </c>
      <c r="P51" s="12" t="str">
        <f t="shared" si="41"/>
        <v/>
      </c>
      <c r="Q51" s="12" t="str">
        <f t="shared" si="41"/>
        <v/>
      </c>
      <c r="R51" s="12" t="str">
        <f t="shared" si="41"/>
        <v>Pendiente</v>
      </c>
      <c r="S51" s="12" t="str">
        <f t="shared" si="41"/>
        <v/>
      </c>
      <c r="T51" s="12" t="str">
        <f t="shared" si="41"/>
        <v/>
      </c>
      <c r="U51" s="12" t="str">
        <f t="shared" si="41"/>
        <v/>
      </c>
      <c r="V51" s="12" t="str">
        <f t="shared" si="41"/>
        <v/>
      </c>
    </row>
    <row r="52" ht="18" customHeight="1" spans="1:22">
      <c r="A52" s="8"/>
      <c r="B52" s="9">
        <v>7</v>
      </c>
      <c r="C52" s="9" t="s">
        <v>9</v>
      </c>
      <c r="D52" s="10">
        <v>45894</v>
      </c>
      <c r="E52" s="10">
        <v>45894</v>
      </c>
      <c r="F52" s="10"/>
      <c r="G52" s="11" t="s">
        <v>10</v>
      </c>
      <c r="H52" s="12"/>
      <c r="I52" s="12"/>
      <c r="J52" s="12"/>
      <c r="K52" s="12"/>
      <c r="L52" s="12" t="str">
        <f t="shared" si="33"/>
        <v/>
      </c>
      <c r="M52" s="12" t="str">
        <f t="shared" si="35"/>
        <v/>
      </c>
      <c r="N52" s="12" t="str">
        <f t="shared" ref="N52:N71" si="42">IF(AND($D52&lt;=N$11,$E52&gt;=N$11),$G52,"")</f>
        <v/>
      </c>
      <c r="O52" s="12" t="str">
        <f t="shared" ref="N52:V52" si="43">IF(AND($D52&lt;=O$11,$E52&gt;=O$11),$G52,"")</f>
        <v/>
      </c>
      <c r="P52" s="12" t="str">
        <f t="shared" si="43"/>
        <v/>
      </c>
      <c r="Q52" s="12" t="str">
        <f t="shared" si="43"/>
        <v/>
      </c>
      <c r="R52" s="12" t="str">
        <f t="shared" si="43"/>
        <v>Pendiente</v>
      </c>
      <c r="S52" s="12" t="str">
        <f t="shared" si="43"/>
        <v/>
      </c>
      <c r="T52" s="12" t="str">
        <f t="shared" si="43"/>
        <v/>
      </c>
      <c r="U52" s="12" t="str">
        <f t="shared" si="43"/>
        <v/>
      </c>
      <c r="V52" s="12" t="str">
        <f t="shared" si="43"/>
        <v/>
      </c>
    </row>
    <row r="53" ht="18" customHeight="1" spans="1:22">
      <c r="A53" s="17" t="s">
        <v>18</v>
      </c>
      <c r="B53" s="13"/>
      <c r="C53" s="13"/>
      <c r="D53" s="10"/>
      <c r="E53" s="10"/>
      <c r="F53" s="10"/>
      <c r="G53" s="11"/>
      <c r="H53" s="12"/>
      <c r="I53" s="12"/>
      <c r="J53" s="12"/>
      <c r="K53" s="12"/>
      <c r="L53" s="12" t="str">
        <f t="shared" si="33"/>
        <v/>
      </c>
      <c r="M53" s="12" t="str">
        <f t="shared" si="35"/>
        <v/>
      </c>
      <c r="N53" s="12" t="str">
        <f t="shared" si="42"/>
        <v/>
      </c>
      <c r="O53" s="12"/>
      <c r="P53" s="12"/>
      <c r="Q53" s="12"/>
      <c r="R53" s="12"/>
      <c r="S53" s="12"/>
      <c r="T53" s="12"/>
      <c r="U53" s="12"/>
      <c r="V53" s="12"/>
    </row>
    <row r="54" ht="18" customHeight="1" spans="1:22">
      <c r="A54" s="16" t="s">
        <v>19</v>
      </c>
      <c r="B54" s="13"/>
      <c r="C54" s="13"/>
      <c r="D54" s="10"/>
      <c r="E54" s="10"/>
      <c r="F54" s="10"/>
      <c r="G54" s="11"/>
      <c r="H54" s="12"/>
      <c r="I54" s="12"/>
      <c r="J54" s="12"/>
      <c r="K54" s="12"/>
      <c r="L54" s="12" t="str">
        <f t="shared" si="33"/>
        <v/>
      </c>
      <c r="M54" s="12" t="str">
        <f t="shared" si="35"/>
        <v/>
      </c>
      <c r="N54" s="12" t="str">
        <f t="shared" si="42"/>
        <v/>
      </c>
      <c r="O54" s="12"/>
      <c r="P54" s="12"/>
      <c r="Q54" s="12"/>
      <c r="R54" s="12"/>
      <c r="S54" s="12"/>
      <c r="T54" s="12"/>
      <c r="U54" s="12"/>
      <c r="V54" s="12"/>
    </row>
    <row r="55" ht="18" customHeight="1" spans="1:22">
      <c r="A55" s="13"/>
      <c r="B55" s="13">
        <v>3</v>
      </c>
      <c r="C55" s="9" t="s">
        <v>9</v>
      </c>
      <c r="D55" s="10">
        <v>45895</v>
      </c>
      <c r="E55" s="10">
        <v>45895</v>
      </c>
      <c r="F55" s="10"/>
      <c r="G55" s="11" t="s">
        <v>10</v>
      </c>
      <c r="H55" s="12"/>
      <c r="I55" s="12"/>
      <c r="J55" s="12"/>
      <c r="K55" s="12"/>
      <c r="L55" s="12" t="str">
        <f t="shared" si="33"/>
        <v/>
      </c>
      <c r="M55" s="12" t="str">
        <f t="shared" ref="M55:V55" si="44">IF(AND($D55&lt;=M$11,$E55&gt;=M$11),$G55,"")</f>
        <v/>
      </c>
      <c r="N55" s="12" t="str">
        <f t="shared" si="44"/>
        <v/>
      </c>
      <c r="O55" s="12" t="str">
        <f t="shared" si="44"/>
        <v/>
      </c>
      <c r="P55" s="12" t="str">
        <f t="shared" si="44"/>
        <v/>
      </c>
      <c r="Q55" s="12" t="str">
        <f t="shared" si="44"/>
        <v/>
      </c>
      <c r="R55" s="12" t="str">
        <f t="shared" si="44"/>
        <v/>
      </c>
      <c r="S55" s="12" t="str">
        <f t="shared" si="44"/>
        <v>Pendiente</v>
      </c>
      <c r="T55" s="12" t="str">
        <f t="shared" si="44"/>
        <v/>
      </c>
      <c r="U55" s="12" t="str">
        <f t="shared" si="44"/>
        <v/>
      </c>
      <c r="V55" s="12" t="str">
        <f t="shared" si="44"/>
        <v/>
      </c>
    </row>
    <row r="56" ht="18" customHeight="1" spans="1:22">
      <c r="A56" s="13"/>
      <c r="B56" s="13">
        <v>2</v>
      </c>
      <c r="C56" s="9" t="s">
        <v>9</v>
      </c>
      <c r="D56" s="10">
        <v>45895</v>
      </c>
      <c r="E56" s="10">
        <v>45895</v>
      </c>
      <c r="F56" s="10"/>
      <c r="G56" s="11" t="s">
        <v>10</v>
      </c>
      <c r="H56" s="12"/>
      <c r="I56" s="12"/>
      <c r="J56" s="12"/>
      <c r="K56" s="12"/>
      <c r="L56" s="12" t="str">
        <f t="shared" si="33"/>
        <v/>
      </c>
      <c r="M56" s="12" t="str">
        <f t="shared" ref="M56:V56" si="45">IF(AND($D56&lt;=M$11,$E56&gt;=M$11),$G56,"")</f>
        <v/>
      </c>
      <c r="N56" s="12" t="str">
        <f t="shared" si="45"/>
        <v/>
      </c>
      <c r="O56" s="12" t="str">
        <f t="shared" si="45"/>
        <v/>
      </c>
      <c r="P56" s="12" t="str">
        <f t="shared" si="45"/>
        <v/>
      </c>
      <c r="Q56" s="12" t="str">
        <f t="shared" si="45"/>
        <v/>
      </c>
      <c r="R56" s="12" t="str">
        <f t="shared" si="45"/>
        <v/>
      </c>
      <c r="S56" s="12" t="str">
        <f t="shared" si="45"/>
        <v>Pendiente</v>
      </c>
      <c r="T56" s="12" t="str">
        <f t="shared" si="45"/>
        <v/>
      </c>
      <c r="U56" s="12" t="str">
        <f t="shared" si="45"/>
        <v/>
      </c>
      <c r="V56" s="12" t="str">
        <f t="shared" si="45"/>
        <v/>
      </c>
    </row>
    <row r="57" ht="18" customHeight="1" spans="1:22">
      <c r="A57" s="13"/>
      <c r="B57" s="9">
        <v>2</v>
      </c>
      <c r="C57" s="9" t="s">
        <v>9</v>
      </c>
      <c r="D57" s="10">
        <v>45895</v>
      </c>
      <c r="E57" s="10">
        <v>45895</v>
      </c>
      <c r="F57" s="10"/>
      <c r="G57" s="11" t="s">
        <v>10</v>
      </c>
      <c r="H57" s="12"/>
      <c r="I57" s="12"/>
      <c r="J57" s="12"/>
      <c r="K57" s="12"/>
      <c r="L57" s="12" t="str">
        <f t="shared" si="33"/>
        <v/>
      </c>
      <c r="M57" s="12" t="str">
        <f t="shared" ref="M57:V57" si="46">IF(AND($D57&lt;=M$11,$E57&gt;=M$11),$G57,"")</f>
        <v/>
      </c>
      <c r="N57" s="12" t="str">
        <f t="shared" si="46"/>
        <v/>
      </c>
      <c r="O57" s="12" t="str">
        <f t="shared" si="46"/>
        <v/>
      </c>
      <c r="P57" s="12" t="str">
        <f t="shared" si="46"/>
        <v/>
      </c>
      <c r="Q57" s="12" t="str">
        <f t="shared" si="46"/>
        <v/>
      </c>
      <c r="R57" s="12" t="str">
        <f t="shared" si="46"/>
        <v/>
      </c>
      <c r="S57" s="12" t="str">
        <f t="shared" si="46"/>
        <v>Pendiente</v>
      </c>
      <c r="T57" s="12" t="str">
        <f t="shared" si="46"/>
        <v/>
      </c>
      <c r="U57" s="12" t="str">
        <f t="shared" si="46"/>
        <v/>
      </c>
      <c r="V57" s="12" t="str">
        <f t="shared" si="46"/>
        <v/>
      </c>
    </row>
    <row r="58" ht="18" customHeight="1" spans="1:22">
      <c r="A58" s="17" t="s">
        <v>20</v>
      </c>
      <c r="B58" s="9"/>
      <c r="C58" s="9"/>
      <c r="D58" s="10"/>
      <c r="E58" s="10"/>
      <c r="F58" s="10"/>
      <c r="G58" s="11"/>
      <c r="H58" s="12"/>
      <c r="I58" s="12"/>
      <c r="J58" s="12"/>
      <c r="K58" s="12"/>
      <c r="L58" s="12" t="str">
        <f t="shared" si="33"/>
        <v/>
      </c>
      <c r="M58" s="12" t="str">
        <f t="shared" si="35"/>
        <v/>
      </c>
      <c r="N58" s="12" t="str">
        <f t="shared" si="42"/>
        <v/>
      </c>
      <c r="O58" s="12"/>
      <c r="P58" s="12"/>
      <c r="Q58" s="12"/>
      <c r="R58" s="12"/>
      <c r="S58" s="12"/>
      <c r="T58" s="12"/>
      <c r="U58" s="12"/>
      <c r="V58" s="12"/>
    </row>
    <row r="59" ht="18" customHeight="1" spans="1:22">
      <c r="A59" s="16" t="s">
        <v>21</v>
      </c>
      <c r="B59" s="13"/>
      <c r="C59" s="13"/>
      <c r="D59" s="10"/>
      <c r="E59" s="10"/>
      <c r="F59" s="10"/>
      <c r="G59" s="11"/>
      <c r="H59" s="12"/>
      <c r="I59" s="12"/>
      <c r="J59" s="12"/>
      <c r="K59" s="12"/>
      <c r="L59" s="12" t="str">
        <f t="shared" si="33"/>
        <v/>
      </c>
      <c r="M59" s="12" t="str">
        <f t="shared" si="35"/>
        <v/>
      </c>
      <c r="N59" s="12" t="str">
        <f t="shared" si="42"/>
        <v/>
      </c>
      <c r="O59" s="12"/>
      <c r="P59" s="12"/>
      <c r="Q59" s="12"/>
      <c r="R59" s="12"/>
      <c r="S59" s="12"/>
      <c r="T59" s="12"/>
      <c r="U59" s="12"/>
      <c r="V59" s="12"/>
    </row>
    <row r="60" ht="18" customHeight="1" spans="1:22">
      <c r="A60" s="13"/>
      <c r="B60" s="13">
        <v>3</v>
      </c>
      <c r="C60" s="9" t="s">
        <v>9</v>
      </c>
      <c r="D60" s="10">
        <v>45896</v>
      </c>
      <c r="E60" s="10">
        <v>45896</v>
      </c>
      <c r="F60" s="10"/>
      <c r="G60" s="11" t="s">
        <v>10</v>
      </c>
      <c r="H60" s="12"/>
      <c r="I60" s="12"/>
      <c r="J60" s="12"/>
      <c r="K60" s="12"/>
      <c r="L60" s="12" t="str">
        <f t="shared" si="33"/>
        <v/>
      </c>
      <c r="M60" s="12" t="str">
        <f t="shared" si="35"/>
        <v/>
      </c>
      <c r="N60" s="12" t="str">
        <f t="shared" si="42"/>
        <v/>
      </c>
      <c r="O60" s="12" t="str">
        <f t="shared" ref="O60:V60" si="47">IF(AND($D60&lt;=O$11,$E60&gt;=O$11),$G60,"")</f>
        <v/>
      </c>
      <c r="P60" s="12" t="str">
        <f t="shared" si="47"/>
        <v/>
      </c>
      <c r="Q60" s="12" t="str">
        <f t="shared" si="47"/>
        <v/>
      </c>
      <c r="R60" s="12" t="str">
        <f t="shared" si="47"/>
        <v/>
      </c>
      <c r="S60" s="12" t="str">
        <f t="shared" si="47"/>
        <v/>
      </c>
      <c r="T60" s="12" t="str">
        <f t="shared" si="47"/>
        <v>Pendiente</v>
      </c>
      <c r="U60" s="12" t="str">
        <f t="shared" si="47"/>
        <v/>
      </c>
      <c r="V60" s="12" t="str">
        <f t="shared" si="47"/>
        <v/>
      </c>
    </row>
    <row r="61" ht="18" customHeight="1" spans="1:22">
      <c r="A61" s="13"/>
      <c r="B61" s="13">
        <v>2</v>
      </c>
      <c r="C61" s="9" t="s">
        <v>9</v>
      </c>
      <c r="D61" s="10">
        <v>45896</v>
      </c>
      <c r="E61" s="10">
        <v>45896</v>
      </c>
      <c r="F61" s="10"/>
      <c r="G61" s="11" t="s">
        <v>10</v>
      </c>
      <c r="H61" s="12"/>
      <c r="I61" s="12"/>
      <c r="J61" s="12"/>
      <c r="K61" s="12"/>
      <c r="L61" s="12" t="str">
        <f t="shared" si="33"/>
        <v/>
      </c>
      <c r="M61" s="12" t="str">
        <f t="shared" si="35"/>
        <v/>
      </c>
      <c r="N61" s="12" t="str">
        <f t="shared" si="42"/>
        <v/>
      </c>
      <c r="O61" s="12" t="str">
        <f t="shared" ref="O61:V61" si="48">IF(AND($D61&lt;=O$11,$E61&gt;=O$11),$G61,"")</f>
        <v/>
      </c>
      <c r="P61" s="12" t="str">
        <f t="shared" si="48"/>
        <v/>
      </c>
      <c r="Q61" s="12" t="str">
        <f t="shared" si="48"/>
        <v/>
      </c>
      <c r="R61" s="12" t="str">
        <f t="shared" si="48"/>
        <v/>
      </c>
      <c r="S61" s="12" t="str">
        <f t="shared" si="48"/>
        <v/>
      </c>
      <c r="T61" s="12" t="str">
        <f t="shared" si="48"/>
        <v>Pendiente</v>
      </c>
      <c r="U61" s="12" t="str">
        <f t="shared" si="48"/>
        <v/>
      </c>
      <c r="V61" s="12" t="str">
        <f t="shared" si="48"/>
        <v/>
      </c>
    </row>
    <row r="62" ht="18" customHeight="1" spans="1:22">
      <c r="A62" s="13"/>
      <c r="B62" s="13">
        <v>2</v>
      </c>
      <c r="C62" s="9" t="s">
        <v>9</v>
      </c>
      <c r="D62" s="10">
        <v>45896</v>
      </c>
      <c r="E62" s="10">
        <v>45896</v>
      </c>
      <c r="F62" s="10"/>
      <c r="G62" s="11" t="s">
        <v>10</v>
      </c>
      <c r="H62" s="12"/>
      <c r="I62" s="12"/>
      <c r="J62" s="12"/>
      <c r="K62" s="12"/>
      <c r="L62" s="12" t="str">
        <f t="shared" si="33"/>
        <v/>
      </c>
      <c r="M62" s="12" t="str">
        <f t="shared" si="35"/>
        <v/>
      </c>
      <c r="N62" s="12" t="str">
        <f t="shared" si="42"/>
        <v/>
      </c>
      <c r="O62" s="12" t="str">
        <f t="shared" ref="O62:V62" si="49">IF(AND($D62&lt;=O$11,$E62&gt;=O$11),$G62,"")</f>
        <v/>
      </c>
      <c r="P62" s="12" t="str">
        <f t="shared" si="49"/>
        <v/>
      </c>
      <c r="Q62" s="12" t="str">
        <f t="shared" si="49"/>
        <v/>
      </c>
      <c r="R62" s="12" t="str">
        <f t="shared" si="49"/>
        <v/>
      </c>
      <c r="S62" s="12" t="str">
        <f t="shared" si="49"/>
        <v/>
      </c>
      <c r="T62" s="12" t="str">
        <f t="shared" si="49"/>
        <v>Pendiente</v>
      </c>
      <c r="U62" s="12" t="str">
        <f t="shared" si="49"/>
        <v/>
      </c>
      <c r="V62" s="12" t="str">
        <f t="shared" si="49"/>
        <v/>
      </c>
    </row>
    <row r="63" ht="18" customHeight="1" spans="1:22">
      <c r="A63" s="17" t="s">
        <v>22</v>
      </c>
      <c r="B63" s="9"/>
      <c r="C63" s="9"/>
      <c r="D63" s="10"/>
      <c r="E63" s="10"/>
      <c r="F63" s="10"/>
      <c r="G63" s="11"/>
      <c r="H63" s="12"/>
      <c r="I63" s="12"/>
      <c r="J63" s="12"/>
      <c r="K63" s="12"/>
      <c r="L63" s="12" t="str">
        <f t="shared" si="33"/>
        <v/>
      </c>
      <c r="M63" s="12" t="str">
        <f t="shared" si="35"/>
        <v/>
      </c>
      <c r="N63" s="12" t="str">
        <f t="shared" si="42"/>
        <v/>
      </c>
      <c r="O63" s="12"/>
      <c r="P63" s="12"/>
      <c r="Q63" s="12"/>
      <c r="R63" s="12"/>
      <c r="S63" s="12"/>
      <c r="T63" s="12"/>
      <c r="U63" s="12"/>
      <c r="V63" s="12"/>
    </row>
    <row r="64" ht="18" customHeight="1" spans="1:22">
      <c r="A64" s="13"/>
      <c r="B64" s="13">
        <v>6</v>
      </c>
      <c r="C64" s="9" t="s">
        <v>9</v>
      </c>
      <c r="D64" s="10">
        <v>45897</v>
      </c>
      <c r="E64" s="10">
        <v>45897</v>
      </c>
      <c r="F64" s="10"/>
      <c r="G64" s="11" t="s">
        <v>10</v>
      </c>
      <c r="H64" s="12"/>
      <c r="I64" s="12"/>
      <c r="J64" s="12"/>
      <c r="K64" s="12"/>
      <c r="L64" s="12" t="str">
        <f t="shared" si="33"/>
        <v/>
      </c>
      <c r="M64" s="12" t="str">
        <f t="shared" si="35"/>
        <v/>
      </c>
      <c r="N64" s="12" t="str">
        <f t="shared" si="42"/>
        <v/>
      </c>
      <c r="O64" s="12" t="str">
        <f t="shared" ref="O64:V64" si="50">IF(AND($D64&lt;=O$11,$E64&gt;=O$11),$G64,"")</f>
        <v/>
      </c>
      <c r="P64" s="12" t="str">
        <f t="shared" si="50"/>
        <v/>
      </c>
      <c r="Q64" s="12" t="str">
        <f t="shared" si="50"/>
        <v/>
      </c>
      <c r="R64" s="12" t="str">
        <f t="shared" si="50"/>
        <v/>
      </c>
      <c r="S64" s="12" t="str">
        <f t="shared" si="50"/>
        <v/>
      </c>
      <c r="T64" s="12" t="str">
        <f t="shared" si="50"/>
        <v/>
      </c>
      <c r="U64" s="12" t="str">
        <f t="shared" si="50"/>
        <v>Pendiente</v>
      </c>
      <c r="V64" s="12" t="str">
        <f t="shared" si="50"/>
        <v/>
      </c>
    </row>
    <row r="65" ht="18" customHeight="1" spans="1:22">
      <c r="A65" s="13"/>
      <c r="B65" s="13">
        <v>2</v>
      </c>
      <c r="C65" s="9" t="s">
        <v>9</v>
      </c>
      <c r="D65" s="10">
        <v>45897</v>
      </c>
      <c r="E65" s="10">
        <v>45897</v>
      </c>
      <c r="F65" s="10"/>
      <c r="G65" s="11" t="s">
        <v>10</v>
      </c>
      <c r="H65" s="12"/>
      <c r="I65" s="12"/>
      <c r="J65" s="12"/>
      <c r="K65" s="12"/>
      <c r="L65" s="12" t="str">
        <f t="shared" si="33"/>
        <v/>
      </c>
      <c r="M65" s="12" t="str">
        <f t="shared" si="35"/>
        <v/>
      </c>
      <c r="N65" s="12" t="str">
        <f t="shared" si="42"/>
        <v/>
      </c>
      <c r="O65" s="12" t="str">
        <f t="shared" ref="O65:V65" si="51">IF(AND($D65&lt;=O$11,$E65&gt;=O$11),$G65,"")</f>
        <v/>
      </c>
      <c r="P65" s="12" t="str">
        <f t="shared" si="51"/>
        <v/>
      </c>
      <c r="Q65" s="12" t="str">
        <f t="shared" si="51"/>
        <v/>
      </c>
      <c r="R65" s="12" t="str">
        <f t="shared" si="51"/>
        <v/>
      </c>
      <c r="S65" s="12" t="str">
        <f t="shared" si="51"/>
        <v/>
      </c>
      <c r="T65" s="12" t="str">
        <f t="shared" si="51"/>
        <v/>
      </c>
      <c r="U65" s="12" t="str">
        <f t="shared" si="51"/>
        <v>Pendiente</v>
      </c>
      <c r="V65" s="12" t="str">
        <f t="shared" si="51"/>
        <v/>
      </c>
    </row>
    <row r="66" ht="18" customHeight="1" spans="1:22">
      <c r="A66" s="13"/>
      <c r="B66" s="13">
        <v>1</v>
      </c>
      <c r="C66" s="9" t="s">
        <v>9</v>
      </c>
      <c r="D66" s="10">
        <v>45898</v>
      </c>
      <c r="E66" s="10">
        <v>45898</v>
      </c>
      <c r="F66" s="10"/>
      <c r="G66" s="11" t="s">
        <v>10</v>
      </c>
      <c r="H66" s="12"/>
      <c r="I66" s="12"/>
      <c r="J66" s="12"/>
      <c r="K66" s="12"/>
      <c r="L66" s="12" t="str">
        <f t="shared" si="33"/>
        <v/>
      </c>
      <c r="M66" s="12" t="str">
        <f t="shared" si="35"/>
        <v/>
      </c>
      <c r="N66" s="12" t="str">
        <f t="shared" si="42"/>
        <v/>
      </c>
      <c r="O66" s="12" t="str">
        <f t="shared" ref="O66:V66" si="52">IF(AND($D66&lt;=O$11,$E66&gt;=O$11),$G66,"")</f>
        <v/>
      </c>
      <c r="P66" s="12" t="str">
        <f t="shared" si="52"/>
        <v/>
      </c>
      <c r="Q66" s="12" t="str">
        <f t="shared" si="52"/>
        <v/>
      </c>
      <c r="R66" s="12" t="str">
        <f t="shared" si="52"/>
        <v/>
      </c>
      <c r="S66" s="12" t="str">
        <f t="shared" si="52"/>
        <v/>
      </c>
      <c r="T66" s="12" t="str">
        <f t="shared" si="52"/>
        <v/>
      </c>
      <c r="U66" s="12" t="str">
        <f t="shared" si="52"/>
        <v/>
      </c>
      <c r="V66" s="12" t="str">
        <f t="shared" si="52"/>
        <v>Pendiente</v>
      </c>
    </row>
    <row r="67" ht="18" customHeight="1" spans="1:22">
      <c r="A67" s="13"/>
      <c r="B67" s="13">
        <v>6</v>
      </c>
      <c r="C67" s="9" t="s">
        <v>9</v>
      </c>
      <c r="D67" s="10">
        <v>45898</v>
      </c>
      <c r="E67" s="10">
        <v>45898</v>
      </c>
      <c r="F67" s="10"/>
      <c r="G67" s="11" t="s">
        <v>10</v>
      </c>
      <c r="H67" s="12"/>
      <c r="I67" s="12"/>
      <c r="J67" s="12"/>
      <c r="K67" s="12"/>
      <c r="L67" s="12" t="str">
        <f t="shared" si="33"/>
        <v/>
      </c>
      <c r="M67" s="12" t="str">
        <f t="shared" si="35"/>
        <v/>
      </c>
      <c r="N67" s="12" t="str">
        <f t="shared" si="42"/>
        <v/>
      </c>
      <c r="O67" s="12" t="str">
        <f t="shared" ref="O67:V67" si="53">IF(AND($D67&lt;=O$11,$E67&gt;=O$11),$G67,"")</f>
        <v/>
      </c>
      <c r="P67" s="12" t="str">
        <f t="shared" si="53"/>
        <v/>
      </c>
      <c r="Q67" s="12" t="str">
        <f t="shared" si="53"/>
        <v/>
      </c>
      <c r="R67" s="12" t="str">
        <f t="shared" si="53"/>
        <v/>
      </c>
      <c r="S67" s="12" t="str">
        <f t="shared" si="53"/>
        <v/>
      </c>
      <c r="T67" s="12" t="str">
        <f t="shared" si="53"/>
        <v/>
      </c>
      <c r="U67" s="12" t="str">
        <f t="shared" si="53"/>
        <v/>
      </c>
      <c r="V67" s="12" t="str">
        <f t="shared" si="53"/>
        <v>Pendiente</v>
      </c>
    </row>
    <row r="68" ht="18" customHeight="1" spans="1:22">
      <c r="A68" s="8"/>
      <c r="B68" s="9">
        <v>1</v>
      </c>
      <c r="C68" s="9" t="s">
        <v>9</v>
      </c>
      <c r="D68" s="10">
        <v>45898</v>
      </c>
      <c r="E68" s="10">
        <v>45898</v>
      </c>
      <c r="F68" s="10"/>
      <c r="G68" s="11" t="s">
        <v>10</v>
      </c>
      <c r="H68" s="12"/>
      <c r="I68" s="12"/>
      <c r="J68" s="12"/>
      <c r="K68" s="12"/>
      <c r="L68" s="12" t="str">
        <f t="shared" si="33"/>
        <v/>
      </c>
      <c r="M68" s="12" t="str">
        <f t="shared" si="35"/>
        <v/>
      </c>
      <c r="N68" s="12" t="str">
        <f t="shared" si="42"/>
        <v/>
      </c>
      <c r="O68" s="12" t="str">
        <f t="shared" ref="O68:V68" si="54">IF(AND($D68&lt;=O$11,$E68&gt;=O$11),$G68,"")</f>
        <v/>
      </c>
      <c r="P68" s="12" t="str">
        <f t="shared" si="54"/>
        <v/>
      </c>
      <c r="Q68" s="12" t="str">
        <f t="shared" si="54"/>
        <v/>
      </c>
      <c r="R68" s="12" t="str">
        <f t="shared" si="54"/>
        <v/>
      </c>
      <c r="S68" s="12" t="str">
        <f t="shared" si="54"/>
        <v/>
      </c>
      <c r="T68" s="12" t="str">
        <f t="shared" si="54"/>
        <v/>
      </c>
      <c r="U68" s="12" t="str">
        <f t="shared" si="54"/>
        <v/>
      </c>
      <c r="V68" s="12" t="str">
        <f t="shared" si="54"/>
        <v>Pendiente</v>
      </c>
    </row>
    <row r="69" ht="18" customHeight="1" spans="1:22">
      <c r="A69" s="13"/>
      <c r="B69" s="13"/>
      <c r="C69" s="13"/>
      <c r="D69" s="10"/>
      <c r="E69" s="10"/>
      <c r="F69" s="10"/>
      <c r="G69" s="11"/>
      <c r="H69" s="12"/>
      <c r="I69" s="12"/>
      <c r="J69" s="12"/>
      <c r="K69" s="12"/>
      <c r="L69" s="12"/>
      <c r="M69" s="12"/>
      <c r="N69" s="12" t="str">
        <f t="shared" si="42"/>
        <v/>
      </c>
      <c r="O69" s="12" t="str">
        <f t="shared" ref="O69:V69" si="55">IF(AND($D69&lt;=O$11,$E69&gt;=O$11),$G69,"")</f>
        <v/>
      </c>
      <c r="P69" s="12" t="str">
        <f t="shared" si="55"/>
        <v/>
      </c>
      <c r="Q69" s="12" t="str">
        <f t="shared" si="55"/>
        <v/>
      </c>
      <c r="R69" s="12" t="str">
        <f t="shared" si="55"/>
        <v/>
      </c>
      <c r="S69" s="12" t="str">
        <f t="shared" si="55"/>
        <v/>
      </c>
      <c r="T69" s="12" t="str">
        <f t="shared" si="55"/>
        <v/>
      </c>
      <c r="U69" s="12" t="str">
        <f t="shared" si="55"/>
        <v/>
      </c>
      <c r="V69" s="12" t="str">
        <f t="shared" si="55"/>
        <v/>
      </c>
    </row>
    <row r="70" ht="18" customHeight="1" spans="1:22">
      <c r="A70" s="13"/>
      <c r="B70" s="13"/>
      <c r="C70" s="13"/>
      <c r="D70" s="10"/>
      <c r="E70" s="10"/>
      <c r="F70" s="10"/>
      <c r="G70" s="11"/>
      <c r="H70" s="12"/>
      <c r="I70" s="12"/>
      <c r="J70" s="12"/>
      <c r="K70" s="12"/>
      <c r="L70" s="12"/>
      <c r="M70" s="12"/>
      <c r="N70" s="12" t="str">
        <f t="shared" si="42"/>
        <v/>
      </c>
      <c r="O70" s="12"/>
      <c r="P70" s="12"/>
      <c r="Q70" s="12"/>
      <c r="R70" s="12"/>
      <c r="S70" s="12"/>
      <c r="T70" s="12"/>
      <c r="U70" s="12"/>
      <c r="V70" s="12"/>
    </row>
    <row r="71" ht="18" customHeight="1" spans="1:22">
      <c r="A71" s="9"/>
      <c r="B71" s="13"/>
      <c r="C71" s="13"/>
      <c r="D71" s="10"/>
      <c r="E71" s="10"/>
      <c r="F71" s="10"/>
      <c r="G71" s="11"/>
      <c r="H71" s="12"/>
      <c r="I71" s="12"/>
      <c r="J71" s="12"/>
      <c r="K71" s="12"/>
      <c r="L71" s="12"/>
      <c r="M71" s="12"/>
      <c r="N71" s="12" t="str">
        <f t="shared" si="42"/>
        <v/>
      </c>
      <c r="O71" s="12"/>
      <c r="P71" s="12"/>
      <c r="Q71" s="12"/>
      <c r="R71" s="12"/>
      <c r="S71" s="12"/>
      <c r="T71" s="12"/>
      <c r="U71" s="12"/>
      <c r="V71" s="12"/>
    </row>
    <row r="72" ht="18" customHeight="1" spans="1:22">
      <c r="A72" s="9"/>
      <c r="B72" s="13"/>
      <c r="C72" s="13"/>
      <c r="D72" s="10"/>
      <c r="E72" s="10"/>
      <c r="F72" s="10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</sheetData>
  <conditionalFormatting sqref="G12:G72">
    <cfRule type="cellIs" dxfId="0" priority="206" operator="equal">
      <formula>"Sin Planificar"</formula>
    </cfRule>
    <cfRule type="cellIs" dxfId="1" priority="207" operator="equal">
      <formula>"Pendiente"</formula>
    </cfRule>
    <cfRule type="cellIs" dxfId="2" priority="208" operator="equal">
      <formula>"Finalizada"</formula>
    </cfRule>
    <cfRule type="cellIs" dxfId="3" priority="209" operator="equal">
      <formula>"En Progreso"</formula>
    </cfRule>
  </conditionalFormatting>
  <conditionalFormatting sqref="H12:H72">
    <cfRule type="cellIs" dxfId="4" priority="194" operator="notEqual">
      <formula>"En Progreso;Finalizada;Sin Planificar;Pendiente"</formula>
    </cfRule>
    <cfRule type="cellIs" dxfId="5" priority="190" operator="equal">
      <formula>"En Progreso"</formula>
    </cfRule>
    <cfRule type="expression" dxfId="6" priority="191">
      <formula>H$11=$D$4</formula>
    </cfRule>
  </conditionalFormatting>
  <conditionalFormatting sqref="H12:V72">
    <cfRule type="cellIs" dxfId="7" priority="1" operator="equal">
      <formula>"Sin Planificar"</formula>
    </cfRule>
    <cfRule type="cellIs" dxfId="8" priority="2" operator="equal">
      <formula>"Pendiente"</formula>
    </cfRule>
    <cfRule type="cellIs" dxfId="9" priority="3" operator="equal">
      <formula>"Finalizada"</formula>
    </cfRule>
    <cfRule type="expression" dxfId="6" priority="84">
      <formula>H$11=$D$4</formula>
    </cfRule>
    <cfRule type="cellIs" dxfId="5" priority="85" operator="equal">
      <formula>"En Progreso"</formula>
    </cfRule>
  </conditionalFormatting>
  <dataValidations count="1">
    <dataValidation type="list" allowBlank="1" showInputMessage="1" showErrorMessage="1" sqref="G12:G72">
      <formula1>"Finalizada,En Progreso,Pendiente,Sin Planificar"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5B6280C-389A-4C0B-BF57-9ABEBF148DFE}">
  <ds:schemaRefs/>
</ds:datastoreItem>
</file>

<file path=customXml/itemProps2.xml><?xml version="1.0" encoding="utf-8"?>
<ds:datastoreItem xmlns:ds="http://schemas.openxmlformats.org/officeDocument/2006/customXml" ds:itemID="{42C60E71-8AFE-4064-A862-B895409CA937}">
  <ds:schemaRefs/>
</ds:datastoreItem>
</file>

<file path=customXml/itemProps3.xml><?xml version="1.0" encoding="utf-8"?>
<ds:datastoreItem xmlns:ds="http://schemas.openxmlformats.org/officeDocument/2006/customXml" ds:itemID="{1EA0656A-39C3-495B-94E3-6986D0B049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Cronograma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</dc:creator>
  <cp:lastModifiedBy>Romel</cp:lastModifiedBy>
  <dcterms:created xsi:type="dcterms:W3CDTF">2021-12-02T11:09:00Z</dcterms:created>
  <dcterms:modified xsi:type="dcterms:W3CDTF">2025-09-05T18:22:07Z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0x01010005D7A0B447075B46AEA56E30CA93F710</vt:lpwstr>
  </property>
  <property fmtid="{D5CDD505-2E9C-101B-9397-08002B2CF9AE}" pid="3" name="MediaServiceImageTags">
    <vt:lpwstr/>
  </property>
  <property fmtid="{D5CDD505-2E9C-101B-9397-08002B2CF9AE}" pid="4" name="ICV">
    <vt:lpwstr>02012D22E1B74D369A07A95646718127_12</vt:lpwstr>
  </property>
  <property fmtid="{D5CDD505-2E9C-101B-9397-08002B2CF9AE}" pid="5" name="KSOProductBuildVer">
    <vt:lpwstr>3082-12.2.0.21931</vt:lpwstr>
  </property>
</Properties>
</file>